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YYY-MM-D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<sst xmlns="http://schemas.openxmlformats.org/spreadsheetml/2006/main" count="112" uniqueCount="31">
  <si>
    <t xml:space="preserve">Start Date</t>
  </si>
  <si>
    <t xml:space="preserve">TODO</t>
  </si>
  <si>
    <t xml:space="preserve">Search for switching phase programs</t>
  </si>
  <si>
    <t xml:space="preserve">Finish</t>
  </si>
  <si>
    <t xml:space="preserve">Double check numbers with: http://www.smolovjr.com/smolov-squat-routine/</t>
  </si>
  <si>
    <t xml:space="preserve">Percentages</t>
  </si>
  <si>
    <t xml:space="preserve">Reps</t>
  </si>
  <si>
    <t xml:space="preserve">Working 1RM</t>
  </si>
  <si>
    <t xml:space="preserve">Base +</t>
  </si>
  <si>
    <t xml:space="preserve">Theme</t>
  </si>
  <si>
    <t xml:space="preserve">Week</t>
  </si>
  <si>
    <t xml:space="preserve">M</t>
  </si>
  <si>
    <t xml:space="preserve">T</t>
  </si>
  <si>
    <t xml:space="preserve">W</t>
  </si>
  <si>
    <t xml:space="preserve">H</t>
  </si>
  <si>
    <t xml:space="preserve">F</t>
  </si>
  <si>
    <t xml:space="preserve">Sa</t>
  </si>
  <si>
    <t xml:space="preserve">Su</t>
  </si>
  <si>
    <t xml:space="preserve">Intro</t>
  </si>
  <si>
    <t xml:space="preserve">Base</t>
  </si>
  <si>
    <t xml:space="preserve">Switching</t>
  </si>
  <si>
    <t xml:space="preserve">Intense</t>
  </si>
  <si>
    <t xml:space="preserve">Taper</t>
  </si>
  <si>
    <t xml:space="preserve">Vacation</t>
  </si>
  <si>
    <t xml:space="preserve">Program (weight) x (reps) x (sets)</t>
  </si>
  <si>
    <t xml:space="preserve">WK S</t>
  </si>
  <si>
    <t xml:space="preserve">WK E</t>
  </si>
  <si>
    <t xml:space="preserve">WK</t>
  </si>
  <si>
    <t xml:space="preserve">rest</t>
  </si>
  <si>
    <t xml:space="preserve">Test 1RM</t>
  </si>
  <si>
    <t xml:space="preserve">jumps, 
speed work, 
pause squats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</si>
</sst>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3F3F76"/>
      <name val="Calibri"/>
      <family val="2"/>
      <charset val="1"/>
    </font>
    <font>
      <sz val="8"/>
      <color theme="1"/>
      <name val="Calibri"/>
      <family val="2"/>
      <charset val="1"/>
    </font>
    <font>
      <sz val="11"/>
      <color rgb="FF9C0006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61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CC99"/>
        <bgColor rgb="FFFFC7CE"/>
      </patternFill>
    </fill>
    <fill>
      <patternFill patternType="solid">
        <fgColor rgb="FFFFC7CE"/>
        <bgColor rgb="FFFFCC99"/>
      </patternFill>
    </fill>
    <fill>
      <patternFill patternType="solid">
        <fgColor rgb="FFC6EFCE"/>
        <bgColor rgb="FFCCFFFF"/>
      </patternFill>
    </fill>
    <fill>
      <patternFill patternType="solid">
        <fgColor theme="1"/>
        <bgColor rgb="FF003300"/>
      </patternFill>
    </fill>
    <fill>
      <patternFill patternType="solid">
        <fgColor theme="1" tint="0.3499"/>
        <bgColor rgb="FF3F3F7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2" applyFont="true" applyBorder="tru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10" fillId="5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5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5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  <cellStyle name="Excel Built-in Input" xfId="21"/>
    <cellStyle name="Excel Built-in Bad" xfId="22"/>
    <cellStyle name="Excel Built-in Good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P10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customHeight="true" zeroHeight="false" outlineLevelRow="1" outlineLevelCol="1"/>
  <cols>
    <col collapsed="false" customWidth="true" hidden="true" outlineLevel="1" max="2" min="1" style="0" width="9.14"/>
    <col collapsed="false" customWidth="true" hidden="false" outlineLevel="0" max="3" min="3" style="0" width="14.29"/>
    <col collapsed="false" customWidth="true" hidden="false" outlineLevel="0" max="4" min="4" style="0" width="10.14"/>
    <col collapsed="false" customWidth="true" hidden="false" outlineLevel="0" max="13" min="13" style="0" width="3.15"/>
    <col collapsed="false" customWidth="true" hidden="true" outlineLevel="1" max="48" min="14" style="0" width="4.29"/>
    <col collapsed="false" customWidth="true" hidden="false" outlineLevel="0" max="49" min="49" style="0" width="4.29"/>
    <col collapsed="false" customWidth="true" hidden="true" outlineLevel="1" max="84" min="50" style="0" width="3.57"/>
    <col collapsed="false" customWidth="true" hidden="false" outlineLevel="0" max="85" min="85" style="0" width="3.15"/>
    <col collapsed="false" customWidth="true" hidden="true" outlineLevel="1" max="120" min="86" style="0" width="3.57"/>
    <col collapsed="false" customWidth="true" hidden="false" outlineLevel="0" max="121" min="121" style="0" width="9.14"/>
  </cols>
  <sheetData>
    <row r="2" customFormat="false" ht="15" hidden="false" customHeight="false" outlineLevel="0" collapsed="false">
      <c r="D2" s="0" t="s">
        <v>0</v>
      </c>
      <c r="F2" s="0" t="s">
        <v>1</v>
      </c>
    </row>
    <row r="3" customFormat="false" ht="15" hidden="false" customHeight="false" outlineLevel="0" collapsed="false">
      <c r="D3" s="1" t="n">
        <v>46111</v>
      </c>
      <c r="F3" s="0" t="s">
        <v>2</v>
      </c>
    </row>
    <row r="4" customFormat="false" ht="15" hidden="false" customHeight="false" outlineLevel="0" collapsed="false">
      <c r="D4" s="0" t="s">
        <v>3</v>
      </c>
      <c r="F4" s="0" t="s">
        <v>4</v>
      </c>
    </row>
    <row r="5" customFormat="false" ht="15" hidden="false" customHeight="false" outlineLevel="0" collapsed="false">
      <c r="D5" s="1" t="n">
        <f aca="false">D3+(13*7)-1</f>
        <v>46201</v>
      </c>
      <c r="N5" s="0" t="s">
        <v>5</v>
      </c>
      <c r="AX5" s="0" t="s">
        <v>6</v>
      </c>
      <c r="CH5" s="0" t="s">
        <v>6</v>
      </c>
    </row>
    <row r="6" customFormat="false" ht="15" hidden="false" customHeight="false" outlineLevel="0" collapsed="false">
      <c r="F6" s="0" t="s">
        <v>7</v>
      </c>
      <c r="N6" s="2" t="n">
        <v>1</v>
      </c>
      <c r="O6" s="2" t="n">
        <f aca="false">N6</f>
        <v>1</v>
      </c>
      <c r="P6" s="2" t="n">
        <f aca="false">O6</f>
        <v>1</v>
      </c>
      <c r="Q6" s="2" t="n">
        <f aca="false">P6</f>
        <v>1</v>
      </c>
      <c r="R6" s="2" t="n">
        <f aca="false">Q6</f>
        <v>1</v>
      </c>
      <c r="S6" s="2" t="n">
        <f aca="false">R6</f>
        <v>1</v>
      </c>
      <c r="T6" s="2" t="n">
        <f aca="false">S6</f>
        <v>1</v>
      </c>
      <c r="U6" s="2" t="n">
        <v>2</v>
      </c>
      <c r="V6" s="2" t="n">
        <f aca="false">U6</f>
        <v>2</v>
      </c>
      <c r="W6" s="2" t="n">
        <f aca="false">V6</f>
        <v>2</v>
      </c>
      <c r="X6" s="2" t="n">
        <f aca="false">W6</f>
        <v>2</v>
      </c>
      <c r="Y6" s="2" t="n">
        <f aca="false">X6</f>
        <v>2</v>
      </c>
      <c r="Z6" s="2" t="n">
        <f aca="false">Y6</f>
        <v>2</v>
      </c>
      <c r="AA6" s="2" t="n">
        <f aca="false">Z6</f>
        <v>2</v>
      </c>
      <c r="AB6" s="2" t="n">
        <v>3</v>
      </c>
      <c r="AC6" s="2" t="n">
        <f aca="false">AB6</f>
        <v>3</v>
      </c>
      <c r="AD6" s="2" t="n">
        <f aca="false">AC6</f>
        <v>3</v>
      </c>
      <c r="AE6" s="2" t="n">
        <f aca="false">AD6</f>
        <v>3</v>
      </c>
      <c r="AF6" s="2" t="n">
        <f aca="false">AE6</f>
        <v>3</v>
      </c>
      <c r="AG6" s="2" t="n">
        <f aca="false">AF6</f>
        <v>3</v>
      </c>
      <c r="AH6" s="2" t="n">
        <f aca="false">AG6</f>
        <v>3</v>
      </c>
      <c r="AI6" s="2" t="n">
        <v>4</v>
      </c>
      <c r="AJ6" s="2" t="n">
        <f aca="false">AI6</f>
        <v>4</v>
      </c>
      <c r="AK6" s="2" t="n">
        <f aca="false">AJ6</f>
        <v>4</v>
      </c>
      <c r="AL6" s="2" t="n">
        <f aca="false">AK6</f>
        <v>4</v>
      </c>
      <c r="AM6" s="2" t="n">
        <f aca="false">AL6</f>
        <v>4</v>
      </c>
      <c r="AN6" s="2" t="n">
        <f aca="false">AM6</f>
        <v>4</v>
      </c>
      <c r="AO6" s="2" t="n">
        <f aca="false">AN6</f>
        <v>4</v>
      </c>
      <c r="AP6" s="2" t="n">
        <v>5</v>
      </c>
      <c r="AQ6" s="2" t="n">
        <f aca="false">AP6</f>
        <v>5</v>
      </c>
      <c r="AR6" s="2" t="n">
        <f aca="false">AQ6</f>
        <v>5</v>
      </c>
      <c r="AS6" s="2" t="n">
        <f aca="false">AR6</f>
        <v>5</v>
      </c>
      <c r="AT6" s="2" t="n">
        <f aca="false">AS6</f>
        <v>5</v>
      </c>
      <c r="AU6" s="2" t="n">
        <f aca="false">AT6</f>
        <v>5</v>
      </c>
      <c r="AV6" s="2" t="n">
        <f aca="false">AU6</f>
        <v>5</v>
      </c>
      <c r="AX6" s="2" t="n">
        <f aca="false">N6</f>
        <v>1</v>
      </c>
      <c r="AY6" s="2" t="n">
        <f aca="false">O6</f>
        <v>1</v>
      </c>
      <c r="AZ6" s="2" t="n">
        <f aca="false">P6</f>
        <v>1</v>
      </c>
      <c r="BA6" s="2" t="n">
        <f aca="false">Q6</f>
        <v>1</v>
      </c>
      <c r="BB6" s="2" t="n">
        <f aca="false">R6</f>
        <v>1</v>
      </c>
      <c r="BC6" s="2" t="n">
        <f aca="false">S6</f>
        <v>1</v>
      </c>
      <c r="BD6" s="2" t="n">
        <f aca="false">T6</f>
        <v>1</v>
      </c>
      <c r="BE6" s="2" t="n">
        <f aca="false">U6</f>
        <v>2</v>
      </c>
      <c r="BF6" s="2" t="n">
        <f aca="false">V6</f>
        <v>2</v>
      </c>
      <c r="BG6" s="2" t="n">
        <f aca="false">W6</f>
        <v>2</v>
      </c>
      <c r="BH6" s="2" t="n">
        <f aca="false">X6</f>
        <v>2</v>
      </c>
      <c r="BI6" s="2" t="n">
        <f aca="false">Y6</f>
        <v>2</v>
      </c>
      <c r="BJ6" s="2" t="n">
        <f aca="false">Z6</f>
        <v>2</v>
      </c>
      <c r="BK6" s="2" t="n">
        <f aca="false">AA6</f>
        <v>2</v>
      </c>
      <c r="BL6" s="2" t="n">
        <f aca="false">AB6</f>
        <v>3</v>
      </c>
      <c r="BM6" s="2" t="n">
        <f aca="false">AC6</f>
        <v>3</v>
      </c>
      <c r="BN6" s="2" t="n">
        <f aca="false">AD6</f>
        <v>3</v>
      </c>
      <c r="BO6" s="2" t="n">
        <f aca="false">AE6</f>
        <v>3</v>
      </c>
      <c r="BP6" s="2" t="n">
        <f aca="false">AF6</f>
        <v>3</v>
      </c>
      <c r="BQ6" s="2" t="n">
        <f aca="false">AG6</f>
        <v>3</v>
      </c>
      <c r="BR6" s="2" t="n">
        <f aca="false">AH6</f>
        <v>3</v>
      </c>
      <c r="BS6" s="2" t="n">
        <f aca="false">AI6</f>
        <v>4</v>
      </c>
      <c r="BT6" s="2" t="n">
        <f aca="false">AJ6</f>
        <v>4</v>
      </c>
      <c r="BU6" s="2" t="n">
        <f aca="false">AK6</f>
        <v>4</v>
      </c>
      <c r="BV6" s="2" t="n">
        <f aca="false">AL6</f>
        <v>4</v>
      </c>
      <c r="BW6" s="2" t="n">
        <f aca="false">AM6</f>
        <v>4</v>
      </c>
      <c r="BX6" s="2" t="n">
        <f aca="false">AN6</f>
        <v>4</v>
      </c>
      <c r="BY6" s="2" t="n">
        <f aca="false">AO6</f>
        <v>4</v>
      </c>
      <c r="BZ6" s="2" t="n">
        <f aca="false">AP6</f>
        <v>5</v>
      </c>
      <c r="CA6" s="2" t="n">
        <f aca="false">AQ6</f>
        <v>5</v>
      </c>
      <c r="CB6" s="2" t="n">
        <f aca="false">AR6</f>
        <v>5</v>
      </c>
      <c r="CC6" s="2" t="n">
        <f aca="false">AS6</f>
        <v>5</v>
      </c>
      <c r="CD6" s="2" t="n">
        <f aca="false">AT6</f>
        <v>5</v>
      </c>
      <c r="CE6" s="2" t="n">
        <f aca="false">AU6</f>
        <v>5</v>
      </c>
      <c r="CF6" s="2" t="n">
        <f aca="false">AV6</f>
        <v>5</v>
      </c>
      <c r="CH6" s="2" t="n">
        <f aca="false">N6</f>
        <v>1</v>
      </c>
      <c r="CI6" s="2" t="n">
        <f aca="false">O6</f>
        <v>1</v>
      </c>
      <c r="CJ6" s="2" t="n">
        <f aca="false">P6</f>
        <v>1</v>
      </c>
      <c r="CK6" s="2" t="n">
        <f aca="false">Q6</f>
        <v>1</v>
      </c>
      <c r="CL6" s="2" t="n">
        <f aca="false">R6</f>
        <v>1</v>
      </c>
      <c r="CM6" s="2" t="n">
        <f aca="false">S6</f>
        <v>1</v>
      </c>
      <c r="CN6" s="2" t="n">
        <f aca="false">T6</f>
        <v>1</v>
      </c>
      <c r="CO6" s="2" t="n">
        <f aca="false">U6</f>
        <v>2</v>
      </c>
      <c r="CP6" s="2" t="n">
        <f aca="false">V6</f>
        <v>2</v>
      </c>
      <c r="CQ6" s="2" t="n">
        <f aca="false">W6</f>
        <v>2</v>
      </c>
      <c r="CR6" s="2" t="n">
        <f aca="false">X6</f>
        <v>2</v>
      </c>
      <c r="CS6" s="2" t="n">
        <f aca="false">Y6</f>
        <v>2</v>
      </c>
      <c r="CT6" s="2" t="n">
        <f aca="false">Z6</f>
        <v>2</v>
      </c>
      <c r="CU6" s="2" t="n">
        <f aca="false">AA6</f>
        <v>2</v>
      </c>
      <c r="CV6" s="2" t="n">
        <f aca="false">AB6</f>
        <v>3</v>
      </c>
      <c r="CW6" s="2" t="n">
        <f aca="false">AC6</f>
        <v>3</v>
      </c>
      <c r="CX6" s="2" t="n">
        <f aca="false">AD6</f>
        <v>3</v>
      </c>
      <c r="CY6" s="2" t="n">
        <f aca="false">AE6</f>
        <v>3</v>
      </c>
      <c r="CZ6" s="2" t="n">
        <f aca="false">AF6</f>
        <v>3</v>
      </c>
      <c r="DA6" s="2" t="n">
        <f aca="false">AG6</f>
        <v>3</v>
      </c>
      <c r="DB6" s="2" t="n">
        <f aca="false">AH6</f>
        <v>3</v>
      </c>
      <c r="DC6" s="2" t="n">
        <f aca="false">AI6</f>
        <v>4</v>
      </c>
      <c r="DD6" s="2" t="n">
        <f aca="false">AJ6</f>
        <v>4</v>
      </c>
      <c r="DE6" s="2" t="n">
        <f aca="false">AK6</f>
        <v>4</v>
      </c>
      <c r="DF6" s="2" t="n">
        <f aca="false">AL6</f>
        <v>4</v>
      </c>
      <c r="DG6" s="2" t="n">
        <f aca="false">AM6</f>
        <v>4</v>
      </c>
      <c r="DH6" s="2" t="n">
        <f aca="false">AN6</f>
        <v>4</v>
      </c>
      <c r="DI6" s="2" t="n">
        <f aca="false">AO6</f>
        <v>4</v>
      </c>
      <c r="DJ6" s="2" t="n">
        <f aca="false">AP6</f>
        <v>5</v>
      </c>
      <c r="DK6" s="2" t="n">
        <f aca="false">AQ6</f>
        <v>5</v>
      </c>
      <c r="DL6" s="2" t="n">
        <f aca="false">AR6</f>
        <v>5</v>
      </c>
      <c r="DM6" s="2" t="n">
        <f aca="false">AS6</f>
        <v>5</v>
      </c>
      <c r="DN6" s="2" t="n">
        <f aca="false">AT6</f>
        <v>5</v>
      </c>
      <c r="DO6" s="2" t="n">
        <f aca="false">AU6</f>
        <v>5</v>
      </c>
      <c r="DP6" s="2" t="n">
        <f aca="false">AV6</f>
        <v>5</v>
      </c>
    </row>
    <row r="7" customFormat="false" ht="15" hidden="false" customHeight="false" outlineLevel="0" collapsed="false">
      <c r="C7" s="3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N7" s="4" t="s">
        <v>11</v>
      </c>
      <c r="O7" s="4" t="s">
        <v>12</v>
      </c>
      <c r="P7" s="4" t="s">
        <v>13</v>
      </c>
      <c r="Q7" s="4" t="s">
        <v>14</v>
      </c>
      <c r="R7" s="4" t="s">
        <v>15</v>
      </c>
      <c r="S7" s="4" t="s">
        <v>16</v>
      </c>
      <c r="T7" s="4" t="s">
        <v>17</v>
      </c>
      <c r="U7" s="4" t="s">
        <v>11</v>
      </c>
      <c r="V7" s="4" t="s">
        <v>12</v>
      </c>
      <c r="W7" s="4" t="s">
        <v>13</v>
      </c>
      <c r="X7" s="4" t="s">
        <v>14</v>
      </c>
      <c r="Y7" s="4" t="s">
        <v>15</v>
      </c>
      <c r="Z7" s="4" t="s">
        <v>16</v>
      </c>
      <c r="AA7" s="4" t="s">
        <v>17</v>
      </c>
      <c r="AB7" s="4" t="s">
        <v>11</v>
      </c>
      <c r="AC7" s="4" t="s">
        <v>12</v>
      </c>
      <c r="AD7" s="4" t="s">
        <v>13</v>
      </c>
      <c r="AE7" s="4" t="s">
        <v>14</v>
      </c>
      <c r="AF7" s="4" t="s">
        <v>15</v>
      </c>
      <c r="AG7" s="4" t="s">
        <v>16</v>
      </c>
      <c r="AH7" s="4" t="s">
        <v>17</v>
      </c>
      <c r="AI7" s="4" t="s">
        <v>11</v>
      </c>
      <c r="AJ7" s="4" t="s">
        <v>12</v>
      </c>
      <c r="AK7" s="4" t="s">
        <v>13</v>
      </c>
      <c r="AL7" s="4" t="s">
        <v>14</v>
      </c>
      <c r="AM7" s="4" t="s">
        <v>15</v>
      </c>
      <c r="AN7" s="4" t="s">
        <v>16</v>
      </c>
      <c r="AO7" s="4" t="s">
        <v>17</v>
      </c>
      <c r="AP7" s="4" t="s">
        <v>11</v>
      </c>
      <c r="AQ7" s="4" t="s">
        <v>12</v>
      </c>
      <c r="AR7" s="4" t="s">
        <v>13</v>
      </c>
      <c r="AS7" s="4" t="s">
        <v>14</v>
      </c>
      <c r="AT7" s="4" t="s">
        <v>15</v>
      </c>
      <c r="AU7" s="4" t="s">
        <v>16</v>
      </c>
      <c r="AV7" s="4" t="s">
        <v>17</v>
      </c>
      <c r="AX7" s="4" t="str">
        <f aca="false">N7</f>
        <v>M</v>
      </c>
      <c r="AY7" s="4" t="str">
        <f aca="false">O7</f>
        <v>T</v>
      </c>
      <c r="AZ7" s="4" t="str">
        <f aca="false">P7</f>
        <v>W</v>
      </c>
      <c r="BA7" s="4" t="str">
        <f aca="false">Q7</f>
        <v>H</v>
      </c>
      <c r="BB7" s="4" t="str">
        <f aca="false">R7</f>
        <v>F</v>
      </c>
      <c r="BC7" s="4" t="str">
        <f aca="false">S7</f>
        <v>Sa</v>
      </c>
      <c r="BD7" s="4" t="str">
        <f aca="false">T7</f>
        <v>Su</v>
      </c>
      <c r="BE7" s="4" t="str">
        <f aca="false">U7</f>
        <v>M</v>
      </c>
      <c r="BF7" s="4" t="str">
        <f aca="false">V7</f>
        <v>T</v>
      </c>
      <c r="BG7" s="4" t="str">
        <f aca="false">W7</f>
        <v>W</v>
      </c>
      <c r="BH7" s="4" t="str">
        <f aca="false">X7</f>
        <v>H</v>
      </c>
      <c r="BI7" s="4" t="str">
        <f aca="false">Y7</f>
        <v>F</v>
      </c>
      <c r="BJ7" s="4" t="str">
        <f aca="false">Z7</f>
        <v>Sa</v>
      </c>
      <c r="BK7" s="4" t="str">
        <f aca="false">AA7</f>
        <v>Su</v>
      </c>
      <c r="BL7" s="4" t="str">
        <f aca="false">AB7</f>
        <v>M</v>
      </c>
      <c r="BM7" s="4" t="str">
        <f aca="false">AC7</f>
        <v>T</v>
      </c>
      <c r="BN7" s="4" t="str">
        <f aca="false">AD7</f>
        <v>W</v>
      </c>
      <c r="BO7" s="4" t="str">
        <f aca="false">AE7</f>
        <v>H</v>
      </c>
      <c r="BP7" s="4" t="str">
        <f aca="false">AF7</f>
        <v>F</v>
      </c>
      <c r="BQ7" s="4" t="str">
        <f aca="false">AG7</f>
        <v>Sa</v>
      </c>
      <c r="BR7" s="4" t="str">
        <f aca="false">AH7</f>
        <v>Su</v>
      </c>
      <c r="BS7" s="4" t="str">
        <f aca="false">AI7</f>
        <v>M</v>
      </c>
      <c r="BT7" s="4" t="str">
        <f aca="false">AJ7</f>
        <v>T</v>
      </c>
      <c r="BU7" s="4" t="str">
        <f aca="false">AK7</f>
        <v>W</v>
      </c>
      <c r="BV7" s="4" t="str">
        <f aca="false">AL7</f>
        <v>H</v>
      </c>
      <c r="BW7" s="4" t="str">
        <f aca="false">AM7</f>
        <v>F</v>
      </c>
      <c r="BX7" s="4" t="str">
        <f aca="false">AN7</f>
        <v>Sa</v>
      </c>
      <c r="BY7" s="4" t="str">
        <f aca="false">AO7</f>
        <v>Su</v>
      </c>
      <c r="BZ7" s="4" t="str">
        <f aca="false">AP7</f>
        <v>M</v>
      </c>
      <c r="CA7" s="4" t="str">
        <f aca="false">AQ7</f>
        <v>T</v>
      </c>
      <c r="CB7" s="4" t="str">
        <f aca="false">AR7</f>
        <v>W</v>
      </c>
      <c r="CC7" s="4" t="str">
        <f aca="false">AS7</f>
        <v>H</v>
      </c>
      <c r="CD7" s="4" t="str">
        <f aca="false">AT7</f>
        <v>F</v>
      </c>
      <c r="CE7" s="4" t="str">
        <f aca="false">AU7</f>
        <v>Sa</v>
      </c>
      <c r="CF7" s="4" t="str">
        <f aca="false">AV7</f>
        <v>Su</v>
      </c>
      <c r="CH7" s="4" t="str">
        <f aca="false">N7</f>
        <v>M</v>
      </c>
      <c r="CI7" s="4" t="str">
        <f aca="false">O7</f>
        <v>T</v>
      </c>
      <c r="CJ7" s="4" t="str">
        <f aca="false">P7</f>
        <v>W</v>
      </c>
      <c r="CK7" s="4" t="str">
        <f aca="false">Q7</f>
        <v>H</v>
      </c>
      <c r="CL7" s="4" t="str">
        <f aca="false">R7</f>
        <v>F</v>
      </c>
      <c r="CM7" s="4" t="str">
        <f aca="false">S7</f>
        <v>Sa</v>
      </c>
      <c r="CN7" s="4" t="str">
        <f aca="false">T7</f>
        <v>Su</v>
      </c>
      <c r="CO7" s="4" t="str">
        <f aca="false">U7</f>
        <v>M</v>
      </c>
      <c r="CP7" s="4" t="str">
        <f aca="false">V7</f>
        <v>T</v>
      </c>
      <c r="CQ7" s="4" t="str">
        <f aca="false">W7</f>
        <v>W</v>
      </c>
      <c r="CR7" s="4" t="str">
        <f aca="false">X7</f>
        <v>H</v>
      </c>
      <c r="CS7" s="4" t="str">
        <f aca="false">Y7</f>
        <v>F</v>
      </c>
      <c r="CT7" s="4" t="str">
        <f aca="false">Z7</f>
        <v>Sa</v>
      </c>
      <c r="CU7" s="4" t="str">
        <f aca="false">AA7</f>
        <v>Su</v>
      </c>
      <c r="CV7" s="4" t="str">
        <f aca="false">AB7</f>
        <v>M</v>
      </c>
      <c r="CW7" s="4" t="str">
        <f aca="false">AC7</f>
        <v>T</v>
      </c>
      <c r="CX7" s="4" t="str">
        <f aca="false">AD7</f>
        <v>W</v>
      </c>
      <c r="CY7" s="4" t="str">
        <f aca="false">AE7</f>
        <v>H</v>
      </c>
      <c r="CZ7" s="4" t="str">
        <f aca="false">AF7</f>
        <v>F</v>
      </c>
      <c r="DA7" s="4" t="str">
        <f aca="false">AG7</f>
        <v>Sa</v>
      </c>
      <c r="DB7" s="4" t="str">
        <f aca="false">AH7</f>
        <v>Su</v>
      </c>
      <c r="DC7" s="4" t="str">
        <f aca="false">AI7</f>
        <v>M</v>
      </c>
      <c r="DD7" s="4" t="str">
        <f aca="false">AJ7</f>
        <v>T</v>
      </c>
      <c r="DE7" s="4" t="str">
        <f aca="false">AK7</f>
        <v>W</v>
      </c>
      <c r="DF7" s="4" t="str">
        <f aca="false">AL7</f>
        <v>H</v>
      </c>
      <c r="DG7" s="4" t="str">
        <f aca="false">AM7</f>
        <v>F</v>
      </c>
      <c r="DH7" s="4" t="str">
        <f aca="false">AN7</f>
        <v>Sa</v>
      </c>
      <c r="DI7" s="4" t="str">
        <f aca="false">AO7</f>
        <v>Su</v>
      </c>
      <c r="DJ7" s="4" t="str">
        <f aca="false">AP7</f>
        <v>M</v>
      </c>
      <c r="DK7" s="4" t="str">
        <f aca="false">AQ7</f>
        <v>T</v>
      </c>
      <c r="DL7" s="4" t="str">
        <f aca="false">AR7</f>
        <v>W</v>
      </c>
      <c r="DM7" s="4" t="str">
        <f aca="false">AS7</f>
        <v>H</v>
      </c>
      <c r="DN7" s="4" t="str">
        <f aca="false">AT7</f>
        <v>F</v>
      </c>
      <c r="DO7" s="4" t="str">
        <f aca="false">AU7</f>
        <v>Sa</v>
      </c>
      <c r="DP7" s="4" t="str">
        <f aca="false">AV7</f>
        <v>Su</v>
      </c>
    </row>
    <row r="8" customFormat="false" ht="15" hidden="false" customHeight="false" outlineLevel="0" collapsed="false">
      <c r="D8" s="5" t="s">
        <v>18</v>
      </c>
      <c r="E8" s="2" t="n">
        <v>1</v>
      </c>
      <c r="F8" s="6" t="n">
        <v>315</v>
      </c>
      <c r="G8" s="7" t="n">
        <f aca="false">F8</f>
        <v>315</v>
      </c>
      <c r="H8" s="7" t="n">
        <f aca="false">G8</f>
        <v>315</v>
      </c>
      <c r="I8" s="7" t="n">
        <f aca="false">H8</f>
        <v>315</v>
      </c>
      <c r="J8" s="7" t="n">
        <f aca="false">I8</f>
        <v>315</v>
      </c>
      <c r="K8" s="7" t="n">
        <f aca="false">J8</f>
        <v>315</v>
      </c>
      <c r="L8" s="7" t="n">
        <f aca="false">K8</f>
        <v>315</v>
      </c>
      <c r="N8" s="8" t="n">
        <v>0.65</v>
      </c>
      <c r="O8" s="8" t="n">
        <v>0.65</v>
      </c>
      <c r="P8" s="8" t="n">
        <v>0.7</v>
      </c>
      <c r="Q8" s="8"/>
      <c r="R8" s="8"/>
      <c r="S8" s="8"/>
      <c r="T8" s="8"/>
      <c r="U8" s="8" t="n">
        <v>0.7</v>
      </c>
      <c r="V8" s="8" t="n">
        <v>0.7</v>
      </c>
      <c r="W8" s="8" t="n">
        <v>0.75</v>
      </c>
      <c r="X8" s="8"/>
      <c r="Y8" s="8"/>
      <c r="Z8" s="8"/>
      <c r="AA8" s="8"/>
      <c r="AB8" s="8" t="n">
        <v>0.75</v>
      </c>
      <c r="AC8" s="8" t="n">
        <v>0.75</v>
      </c>
      <c r="AD8" s="8" t="n">
        <v>0.8</v>
      </c>
      <c r="AE8" s="8"/>
      <c r="AF8" s="8"/>
      <c r="AG8" s="8"/>
      <c r="AH8" s="8"/>
      <c r="AI8" s="8" t="n">
        <v>0.8</v>
      </c>
      <c r="AJ8" s="8" t="n">
        <v>0.8</v>
      </c>
      <c r="AK8" s="8" t="n">
        <v>0.9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X8" s="0" t="n">
        <v>8</v>
      </c>
      <c r="AY8" s="0" t="n">
        <v>8</v>
      </c>
      <c r="AZ8" s="0" t="n">
        <v>5</v>
      </c>
      <c r="BE8" s="0" t="n">
        <v>5</v>
      </c>
      <c r="BF8" s="0" t="n">
        <v>5</v>
      </c>
      <c r="BG8" s="0" t="n">
        <v>3</v>
      </c>
      <c r="BL8" s="0" t="n">
        <v>2</v>
      </c>
      <c r="BM8" s="0" t="n">
        <v>2</v>
      </c>
      <c r="BN8" s="0" t="n">
        <v>2</v>
      </c>
      <c r="BS8" s="0" t="n">
        <v>1</v>
      </c>
      <c r="BT8" s="0" t="n">
        <v>1</v>
      </c>
      <c r="BU8" s="0" t="n">
        <v>1</v>
      </c>
      <c r="CH8" s="0" t="n">
        <v>3</v>
      </c>
      <c r="CI8" s="0" t="n">
        <v>3</v>
      </c>
      <c r="CJ8" s="0" t="n">
        <v>4</v>
      </c>
      <c r="CO8" s="0" t="n">
        <v>1</v>
      </c>
      <c r="CP8" s="0" t="n">
        <v>1</v>
      </c>
      <c r="CQ8" s="0" t="n">
        <v>1</v>
      </c>
      <c r="CV8" s="0" t="n">
        <v>2</v>
      </c>
      <c r="CW8" s="0" t="n">
        <v>2</v>
      </c>
      <c r="CX8" s="0" t="n">
        <v>2</v>
      </c>
      <c r="DC8" s="0" t="n">
        <v>1</v>
      </c>
      <c r="DD8" s="0" t="n">
        <v>1</v>
      </c>
      <c r="DE8" s="0" t="n">
        <v>1</v>
      </c>
    </row>
    <row r="9" customFormat="false" ht="15" hidden="false" customHeight="false" outlineLevel="0" collapsed="false">
      <c r="D9" s="5" t="s">
        <v>18</v>
      </c>
      <c r="E9" s="2" t="n">
        <f aca="false">E8+1</f>
        <v>2</v>
      </c>
      <c r="F9" s="9" t="n">
        <f aca="false">F8+$C9</f>
        <v>315</v>
      </c>
      <c r="G9" s="9" t="n">
        <f aca="false">G8+$C9</f>
        <v>315</v>
      </c>
      <c r="H9" s="9" t="n">
        <f aca="false">H8+$C9</f>
        <v>315</v>
      </c>
      <c r="I9" s="9" t="n">
        <f aca="false">I8+$C9</f>
        <v>315</v>
      </c>
      <c r="J9" s="9" t="n">
        <f aca="false">J8+$C9</f>
        <v>315</v>
      </c>
      <c r="K9" s="9" t="n">
        <f aca="false">K8+$C9</f>
        <v>315</v>
      </c>
      <c r="L9" s="9" t="n">
        <f aca="false">L8+$C9</f>
        <v>315</v>
      </c>
      <c r="N9" s="8" t="n">
        <v>0.8</v>
      </c>
      <c r="O9" s="8"/>
      <c r="P9" s="8" t="n">
        <v>0.825</v>
      </c>
      <c r="Q9" s="8"/>
      <c r="R9" s="8" t="n">
        <v>0.85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0" t="n">
        <v>5</v>
      </c>
      <c r="AZ9" s="0" t="n">
        <v>5</v>
      </c>
      <c r="BB9" s="0" t="n">
        <v>5</v>
      </c>
      <c r="CH9" s="0" t="n">
        <v>1</v>
      </c>
      <c r="CJ9" s="0" t="n">
        <v>1</v>
      </c>
      <c r="CL9" s="0" t="n">
        <v>1</v>
      </c>
    </row>
    <row r="10" customFormat="false" ht="15" hidden="false" customHeight="false" outlineLevel="0" collapsed="false">
      <c r="D10" s="5" t="s">
        <v>19</v>
      </c>
      <c r="E10" s="2" t="n">
        <f aca="false">E9+1</f>
        <v>3</v>
      </c>
      <c r="F10" s="9" t="n">
        <f aca="false">F9+$C10</f>
        <v>315</v>
      </c>
      <c r="G10" s="9" t="n">
        <f aca="false">G9+$C10</f>
        <v>315</v>
      </c>
      <c r="H10" s="9" t="n">
        <f aca="false">H9+$C10</f>
        <v>315</v>
      </c>
      <c r="I10" s="9" t="n">
        <f aca="false">I9+$C10</f>
        <v>315</v>
      </c>
      <c r="J10" s="9" t="n">
        <f aca="false">J9+$C10</f>
        <v>315</v>
      </c>
      <c r="K10" s="9" t="n">
        <f aca="false">K9+$C10</f>
        <v>315</v>
      </c>
      <c r="L10" s="9" t="n">
        <f aca="false">L9+$C10</f>
        <v>315</v>
      </c>
      <c r="N10" s="8" t="n">
        <v>0.7</v>
      </c>
      <c r="O10" s="8"/>
      <c r="P10" s="8" t="n">
        <v>0.75</v>
      </c>
      <c r="Q10" s="8"/>
      <c r="R10" s="8" t="n">
        <v>0.8</v>
      </c>
      <c r="S10" s="8" t="n">
        <v>0.85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0" t="n">
        <v>9</v>
      </c>
      <c r="AZ10" s="0" t="n">
        <v>7</v>
      </c>
      <c r="BB10" s="0" t="n">
        <v>5</v>
      </c>
      <c r="BC10" s="0" t="n">
        <v>3</v>
      </c>
      <c r="CH10" s="0" t="n">
        <v>4</v>
      </c>
      <c r="CJ10" s="0" t="n">
        <v>5</v>
      </c>
      <c r="CL10" s="0" t="n">
        <v>7</v>
      </c>
      <c r="CM10" s="0" t="n">
        <v>10</v>
      </c>
    </row>
    <row r="11" customFormat="false" ht="15" hidden="false" customHeight="false" outlineLevel="0" collapsed="false">
      <c r="C11" s="0" t="n">
        <v>0</v>
      </c>
      <c r="D11" s="5" t="s">
        <v>19</v>
      </c>
      <c r="E11" s="2" t="n">
        <f aca="false">E10+1</f>
        <v>4</v>
      </c>
      <c r="F11" s="9" t="n">
        <f aca="false">F10+$C11</f>
        <v>315</v>
      </c>
      <c r="G11" s="9" t="n">
        <f aca="false">G10+$C11</f>
        <v>315</v>
      </c>
      <c r="H11" s="9" t="n">
        <f aca="false">H10+$C11</f>
        <v>315</v>
      </c>
      <c r="I11" s="9" t="n">
        <f aca="false">I10+$C11</f>
        <v>315</v>
      </c>
      <c r="J11" s="9" t="n">
        <f aca="false">J10+$C11</f>
        <v>315</v>
      </c>
      <c r="K11" s="9" t="n">
        <f aca="false">K10+$C11</f>
        <v>315</v>
      </c>
      <c r="L11" s="9" t="n">
        <f aca="false">L10+$C11</f>
        <v>315</v>
      </c>
      <c r="N11" s="8" t="n">
        <v>0.7</v>
      </c>
      <c r="O11" s="8"/>
      <c r="P11" s="8" t="n">
        <v>0.75</v>
      </c>
      <c r="Q11" s="8"/>
      <c r="R11" s="8" t="n">
        <v>0.8</v>
      </c>
      <c r="S11" s="8" t="n">
        <v>0.85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0" t="n">
        <v>9</v>
      </c>
      <c r="AZ11" s="0" t="n">
        <v>7</v>
      </c>
      <c r="BB11" s="0" t="n">
        <v>5</v>
      </c>
      <c r="BC11" s="0" t="n">
        <v>3</v>
      </c>
      <c r="CH11" s="0" t="n">
        <v>4</v>
      </c>
      <c r="CJ11" s="0" t="n">
        <v>5</v>
      </c>
      <c r="CL11" s="0" t="n">
        <v>7</v>
      </c>
      <c r="CM11" s="0" t="n">
        <v>10</v>
      </c>
    </row>
    <row r="12" customFormat="false" ht="15" hidden="false" customHeight="false" outlineLevel="0" collapsed="false">
      <c r="C12" s="0" t="n">
        <v>0</v>
      </c>
      <c r="D12" s="5" t="s">
        <v>19</v>
      </c>
      <c r="E12" s="2" t="n">
        <f aca="false">E11+1</f>
        <v>5</v>
      </c>
      <c r="F12" s="9" t="n">
        <f aca="false">F11+$C12</f>
        <v>315</v>
      </c>
      <c r="G12" s="9" t="n">
        <f aca="false">G11+$C12</f>
        <v>315</v>
      </c>
      <c r="H12" s="9" t="n">
        <f aca="false">H11+$C12</f>
        <v>315</v>
      </c>
      <c r="I12" s="9" t="n">
        <f aca="false">I11+$C12</f>
        <v>315</v>
      </c>
      <c r="J12" s="9" t="n">
        <f aca="false">J11+$C12</f>
        <v>315</v>
      </c>
      <c r="K12" s="9" t="n">
        <f aca="false">K11+$C12</f>
        <v>315</v>
      </c>
      <c r="L12" s="9" t="n">
        <f aca="false">L11+$C12</f>
        <v>315</v>
      </c>
      <c r="N12" s="8" t="n">
        <v>0.7</v>
      </c>
      <c r="O12" s="8"/>
      <c r="P12" s="8" t="n">
        <v>0.75</v>
      </c>
      <c r="Q12" s="8"/>
      <c r="R12" s="8" t="n">
        <v>0.8</v>
      </c>
      <c r="S12" s="8" t="n">
        <v>0.85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0" t="n">
        <v>9</v>
      </c>
      <c r="AZ12" s="0" t="n">
        <v>7</v>
      </c>
      <c r="BB12" s="0" t="n">
        <v>5</v>
      </c>
      <c r="BC12" s="0" t="n">
        <v>3</v>
      </c>
      <c r="CH12" s="0" t="n">
        <v>4</v>
      </c>
      <c r="CJ12" s="0" t="n">
        <v>5</v>
      </c>
      <c r="CL12" s="0" t="n">
        <v>7</v>
      </c>
      <c r="CM12" s="0" t="n">
        <v>10</v>
      </c>
    </row>
    <row r="13" customFormat="false" ht="15" hidden="false" customHeight="false" outlineLevel="0" collapsed="false">
      <c r="C13" s="0" t="n">
        <v>0</v>
      </c>
      <c r="D13" s="5" t="s">
        <v>19</v>
      </c>
      <c r="E13" s="2" t="n">
        <f aca="false">E12+1</f>
        <v>6</v>
      </c>
      <c r="F13" s="9" t="n">
        <f aca="false">F12+$C13</f>
        <v>315</v>
      </c>
      <c r="G13" s="9" t="n">
        <f aca="false">G12+$C13</f>
        <v>315</v>
      </c>
      <c r="H13" s="9" t="n">
        <f aca="false">H12+$C13</f>
        <v>315</v>
      </c>
      <c r="I13" s="9" t="n">
        <f aca="false">I12+$C13</f>
        <v>315</v>
      </c>
      <c r="J13" s="9" t="n">
        <f aca="false">J12+$C13</f>
        <v>315</v>
      </c>
      <c r="K13" s="9" t="n">
        <f aca="false">K12+$C13</f>
        <v>315</v>
      </c>
      <c r="L13" s="9" t="n">
        <f aca="false">L12+$C13</f>
        <v>315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customFormat="false" ht="15" hidden="false" customHeight="false" outlineLevel="0" collapsed="false">
      <c r="D14" s="5" t="s">
        <v>20</v>
      </c>
      <c r="E14" s="2" t="n">
        <f aca="false">E13+1</f>
        <v>7</v>
      </c>
      <c r="F14" s="9" t="n">
        <f aca="false">F13+$C14</f>
        <v>315</v>
      </c>
      <c r="G14" s="9" t="n">
        <f aca="false">G13+$C14</f>
        <v>315</v>
      </c>
      <c r="H14" s="9" t="n">
        <f aca="false">H13+$C14</f>
        <v>315</v>
      </c>
      <c r="I14" s="9" t="n">
        <f aca="false">I13+$C14</f>
        <v>315</v>
      </c>
      <c r="J14" s="9" t="n">
        <f aca="false">J13+$C14</f>
        <v>315</v>
      </c>
      <c r="K14" s="9" t="n">
        <f aca="false">K13+$C14</f>
        <v>315</v>
      </c>
      <c r="L14" s="9" t="n">
        <f aca="false">L13+$C14</f>
        <v>315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customFormat="false" ht="15" hidden="false" customHeight="false" outlineLevel="0" collapsed="false">
      <c r="D15" s="5" t="s">
        <v>20</v>
      </c>
      <c r="E15" s="2" t="n">
        <f aca="false">E14+1</f>
        <v>8</v>
      </c>
      <c r="F15" s="9" t="n">
        <f aca="false">F14+$C15</f>
        <v>315</v>
      </c>
      <c r="G15" s="9" t="n">
        <f aca="false">G14+$C15</f>
        <v>315</v>
      </c>
      <c r="H15" s="9" t="n">
        <f aca="false">H14+$C15</f>
        <v>315</v>
      </c>
      <c r="I15" s="9" t="n">
        <f aca="false">I14+$C15</f>
        <v>315</v>
      </c>
      <c r="J15" s="9" t="n">
        <f aca="false">J14+$C15</f>
        <v>315</v>
      </c>
      <c r="K15" s="9" t="n">
        <f aca="false">K14+$C15</f>
        <v>315</v>
      </c>
      <c r="L15" s="9" t="n">
        <f aca="false">L14+$C15</f>
        <v>315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customFormat="false" ht="15" hidden="false" customHeight="false" outlineLevel="0" collapsed="false">
      <c r="D16" s="5" t="s">
        <v>21</v>
      </c>
      <c r="E16" s="2" t="n">
        <f aca="false">E15+1</f>
        <v>9</v>
      </c>
      <c r="F16" s="9" t="n">
        <v>345</v>
      </c>
      <c r="G16" s="9" t="n">
        <v>345</v>
      </c>
      <c r="H16" s="9" t="n">
        <v>345</v>
      </c>
      <c r="I16" s="9" t="n">
        <v>345</v>
      </c>
      <c r="J16" s="9" t="n">
        <v>345</v>
      </c>
      <c r="K16" s="9" t="n">
        <v>345</v>
      </c>
      <c r="L16" s="9" t="n">
        <v>345</v>
      </c>
      <c r="N16" s="8" t="n">
        <v>0.65</v>
      </c>
      <c r="O16" s="8"/>
      <c r="P16" s="8" t="n">
        <v>0.6</v>
      </c>
      <c r="Q16" s="8"/>
      <c r="R16" s="8"/>
      <c r="S16" s="8" t="n">
        <v>0.65</v>
      </c>
      <c r="T16" s="8"/>
      <c r="U16" s="8" t="n">
        <v>0.75</v>
      </c>
      <c r="V16" s="8"/>
      <c r="W16" s="8" t="n">
        <v>0.7</v>
      </c>
      <c r="X16" s="8"/>
      <c r="Y16" s="8"/>
      <c r="Z16" s="8" t="n">
        <v>0.7</v>
      </c>
      <c r="AA16" s="8"/>
      <c r="AB16" s="8" t="n">
        <v>0.85</v>
      </c>
      <c r="AC16" s="8"/>
      <c r="AD16" s="8" t="n">
        <v>0.8</v>
      </c>
      <c r="AE16" s="8"/>
      <c r="AF16" s="8"/>
      <c r="AG16" s="8" t="n">
        <v>0.8</v>
      </c>
      <c r="AH16" s="8"/>
      <c r="AI16" s="8" t="n">
        <v>0.85</v>
      </c>
      <c r="AJ16" s="8"/>
      <c r="AK16" s="8" t="n">
        <v>0.9</v>
      </c>
      <c r="AL16" s="8"/>
      <c r="AM16" s="8"/>
      <c r="AN16" s="8"/>
      <c r="AO16" s="8"/>
      <c r="AP16" s="8"/>
      <c r="AQ16" s="8"/>
      <c r="AR16" s="8" t="n">
        <v>0.85</v>
      </c>
      <c r="AS16" s="8"/>
      <c r="AT16" s="8"/>
      <c r="AU16" s="8"/>
      <c r="AV16" s="8"/>
      <c r="AW16" s="8"/>
      <c r="AX16" s="0" t="n">
        <v>3</v>
      </c>
      <c r="AZ16" s="0" t="n">
        <v>3</v>
      </c>
      <c r="BC16" s="0" t="n">
        <v>4</v>
      </c>
      <c r="BE16" s="0" t="n">
        <v>4</v>
      </c>
      <c r="BG16" s="0" t="n">
        <v>3</v>
      </c>
      <c r="BJ16" s="0" t="n">
        <v>4</v>
      </c>
      <c r="BL16" s="0" t="n">
        <v>4</v>
      </c>
      <c r="BN16" s="0" t="n">
        <v>4</v>
      </c>
      <c r="BQ16" s="0" t="n">
        <v>4</v>
      </c>
      <c r="BS16" s="0" t="n">
        <v>5</v>
      </c>
      <c r="BU16" s="0" t="n">
        <v>3</v>
      </c>
      <c r="CB16" s="0" t="n">
        <v>5</v>
      </c>
      <c r="CH16" s="0" t="n">
        <v>1</v>
      </c>
      <c r="CJ16" s="0" t="n">
        <v>1</v>
      </c>
      <c r="CM16" s="0" t="n">
        <v>1</v>
      </c>
      <c r="CO16" s="0" t="n">
        <v>1</v>
      </c>
      <c r="CQ16" s="0" t="n">
        <v>1</v>
      </c>
      <c r="CT16" s="0" t="n">
        <v>1</v>
      </c>
      <c r="CV16" s="0" t="n">
        <v>3</v>
      </c>
      <c r="CX16" s="0" t="n">
        <v>1</v>
      </c>
      <c r="DA16" s="0" t="n">
        <v>5</v>
      </c>
      <c r="DC16" s="0" t="n">
        <v>1</v>
      </c>
      <c r="DE16" s="0" t="n">
        <v>1</v>
      </c>
      <c r="DL16" s="0" t="n">
        <v>2</v>
      </c>
    </row>
    <row r="17" customFormat="false" ht="15" hidden="false" customHeight="false" outlineLevel="0" collapsed="false">
      <c r="D17" s="5" t="s">
        <v>21</v>
      </c>
      <c r="E17" s="2" t="n">
        <f aca="false">E16+1</f>
        <v>10</v>
      </c>
      <c r="F17" s="9" t="n">
        <v>345</v>
      </c>
      <c r="G17" s="9" t="n">
        <v>345</v>
      </c>
      <c r="H17" s="9" t="n">
        <v>345</v>
      </c>
      <c r="I17" s="9" t="n">
        <v>345</v>
      </c>
      <c r="J17" s="9" t="n">
        <v>345</v>
      </c>
      <c r="K17" s="9" t="n">
        <v>345</v>
      </c>
      <c r="L17" s="9" t="n">
        <v>345</v>
      </c>
      <c r="N17" s="8" t="n">
        <v>0.6</v>
      </c>
      <c r="O17" s="8"/>
      <c r="P17" s="8" t="n">
        <v>0.65</v>
      </c>
      <c r="Q17" s="8"/>
      <c r="R17" s="8"/>
      <c r="S17" s="8" t="n">
        <v>0.65</v>
      </c>
      <c r="T17" s="8"/>
      <c r="U17" s="8" t="n">
        <v>0.7</v>
      </c>
      <c r="V17" s="8"/>
      <c r="W17" s="8" t="n">
        <v>0.75</v>
      </c>
      <c r="X17" s="8"/>
      <c r="Y17" s="8"/>
      <c r="Z17" s="8" t="n">
        <v>0.75</v>
      </c>
      <c r="AA17" s="8"/>
      <c r="AB17" s="8" t="n">
        <v>0.8</v>
      </c>
      <c r="AC17" s="8"/>
      <c r="AD17" s="8" t="n">
        <v>0.85</v>
      </c>
      <c r="AE17" s="8"/>
      <c r="AF17" s="8"/>
      <c r="AG17" s="8" t="n">
        <v>0.85</v>
      </c>
      <c r="AH17" s="8"/>
      <c r="AI17" s="8" t="n">
        <v>0.9</v>
      </c>
      <c r="AJ17" s="8"/>
      <c r="AK17" s="8" t="n">
        <v>0.9</v>
      </c>
      <c r="AL17" s="8"/>
      <c r="AM17" s="8"/>
      <c r="AN17" s="8" t="n">
        <v>0.9</v>
      </c>
      <c r="AO17" s="8"/>
      <c r="AP17" s="8" t="n">
        <v>0.9</v>
      </c>
      <c r="AQ17" s="8"/>
      <c r="AR17" s="8" t="n">
        <v>0.95</v>
      </c>
      <c r="AS17" s="8"/>
      <c r="AT17" s="8"/>
      <c r="AU17" s="8"/>
      <c r="AV17" s="8"/>
      <c r="AW17" s="8"/>
      <c r="AX17" s="0" t="n">
        <v>4</v>
      </c>
      <c r="AZ17" s="0" t="n">
        <v>3</v>
      </c>
      <c r="BC17" s="0" t="n">
        <v>3</v>
      </c>
      <c r="BE17" s="0" t="n">
        <v>4</v>
      </c>
      <c r="BG17" s="0" t="n">
        <v>3</v>
      </c>
      <c r="BJ17" s="0" t="n">
        <v>3</v>
      </c>
      <c r="BL17" s="0" t="n">
        <v>4</v>
      </c>
      <c r="BN17" s="0" t="n">
        <v>3</v>
      </c>
      <c r="BQ17" s="0" t="n">
        <v>4</v>
      </c>
      <c r="BS17" s="0" t="n">
        <v>3</v>
      </c>
      <c r="BU17" s="0" t="n">
        <v>3</v>
      </c>
      <c r="BX17" s="0" t="n">
        <v>5</v>
      </c>
      <c r="BZ17" s="0" t="n">
        <v>4</v>
      </c>
      <c r="CB17" s="0" t="n">
        <v>3</v>
      </c>
      <c r="CH17" s="0" t="n">
        <v>1</v>
      </c>
      <c r="CJ17" s="0" t="n">
        <v>1</v>
      </c>
      <c r="CM17" s="0" t="n">
        <v>1</v>
      </c>
      <c r="CO17" s="0" t="n">
        <v>1</v>
      </c>
      <c r="CQ17" s="0" t="n">
        <v>1</v>
      </c>
      <c r="CT17" s="0" t="n">
        <v>1</v>
      </c>
      <c r="CV17" s="0" t="n">
        <v>1</v>
      </c>
      <c r="CX17" s="0" t="n">
        <v>1</v>
      </c>
      <c r="DA17" s="0" t="n">
        <v>1</v>
      </c>
      <c r="DC17" s="0" t="n">
        <v>1</v>
      </c>
      <c r="DE17" s="0" t="n">
        <v>3</v>
      </c>
      <c r="DH17" s="0" t="n">
        <v>4</v>
      </c>
      <c r="DJ17" s="0" t="n">
        <v>2</v>
      </c>
      <c r="DL17" s="0" t="n">
        <v>1</v>
      </c>
    </row>
    <row r="18" customFormat="false" ht="15" hidden="false" customHeight="false" outlineLevel="0" collapsed="false">
      <c r="D18" s="5" t="s">
        <v>21</v>
      </c>
      <c r="E18" s="2" t="n">
        <f aca="false">E17+1</f>
        <v>11</v>
      </c>
      <c r="F18" s="9" t="n">
        <v>345</v>
      </c>
      <c r="G18" s="9" t="n">
        <v>345</v>
      </c>
      <c r="H18" s="9" t="n">
        <v>345</v>
      </c>
      <c r="I18" s="9" t="n">
        <v>345</v>
      </c>
      <c r="J18" s="9" t="n">
        <v>345</v>
      </c>
      <c r="K18" s="9" t="n">
        <v>345</v>
      </c>
      <c r="L18" s="9" t="n">
        <v>345</v>
      </c>
      <c r="N18" s="8" t="n">
        <v>0.6</v>
      </c>
      <c r="O18" s="8"/>
      <c r="P18" s="8" t="n">
        <v>0.6</v>
      </c>
      <c r="Q18" s="8"/>
      <c r="R18" s="8"/>
      <c r="S18" s="8" t="n">
        <v>0.65</v>
      </c>
      <c r="T18" s="8"/>
      <c r="U18" s="8" t="n">
        <v>0.7</v>
      </c>
      <c r="V18" s="8"/>
      <c r="W18" s="8" t="n">
        <v>0.7</v>
      </c>
      <c r="X18" s="8"/>
      <c r="Y18" s="8"/>
      <c r="Z18" s="8" t="n">
        <v>0.75</v>
      </c>
      <c r="AA18" s="8"/>
      <c r="AB18" s="8" t="n">
        <v>0.8</v>
      </c>
      <c r="AC18" s="8"/>
      <c r="AD18" s="8" t="n">
        <v>0.8</v>
      </c>
      <c r="AE18" s="8"/>
      <c r="AF18" s="8"/>
      <c r="AG18" s="8" t="n">
        <v>0.85</v>
      </c>
      <c r="AH18" s="8"/>
      <c r="AI18" s="8" t="n">
        <v>0.9</v>
      </c>
      <c r="AJ18" s="8"/>
      <c r="AK18" s="8" t="n">
        <v>0.95</v>
      </c>
      <c r="AL18" s="8"/>
      <c r="AM18" s="8"/>
      <c r="AN18" s="8" t="n">
        <v>0.95</v>
      </c>
      <c r="AO18" s="8"/>
      <c r="AP18" s="8"/>
      <c r="AQ18" s="8"/>
      <c r="AR18" s="8"/>
      <c r="AS18" s="8"/>
      <c r="AT18" s="8"/>
      <c r="AU18" s="8"/>
      <c r="AV18" s="8"/>
      <c r="AW18" s="8"/>
      <c r="AX18" s="0" t="n">
        <v>3</v>
      </c>
      <c r="AZ18" s="0" t="n">
        <v>3</v>
      </c>
      <c r="BC18" s="0" t="n">
        <v>3</v>
      </c>
      <c r="BE18" s="0" t="n">
        <v>3</v>
      </c>
      <c r="BG18" s="0" t="n">
        <v>3</v>
      </c>
      <c r="BJ18" s="0" t="n">
        <v>3</v>
      </c>
      <c r="BL18" s="0" t="n">
        <v>3</v>
      </c>
      <c r="BN18" s="0" t="n">
        <v>3</v>
      </c>
      <c r="BQ18" s="0" t="n">
        <v>3</v>
      </c>
      <c r="BS18" s="0" t="n">
        <v>5</v>
      </c>
      <c r="BU18" s="0" t="n">
        <v>3</v>
      </c>
      <c r="BX18" s="0" t="n">
        <v>3</v>
      </c>
      <c r="CH18" s="0" t="n">
        <v>1</v>
      </c>
      <c r="CJ18" s="0" t="n">
        <v>1</v>
      </c>
      <c r="CM18" s="0" t="n">
        <v>1</v>
      </c>
      <c r="CO18" s="0" t="n">
        <v>1</v>
      </c>
      <c r="CQ18" s="0" t="n">
        <v>1</v>
      </c>
      <c r="CT18" s="0" t="n">
        <v>1</v>
      </c>
      <c r="CV18" s="0" t="n">
        <v>1</v>
      </c>
      <c r="CX18" s="0" t="n">
        <v>1</v>
      </c>
      <c r="DA18" s="0" t="n">
        <v>1</v>
      </c>
      <c r="DC18" s="0" t="n">
        <v>5</v>
      </c>
      <c r="DE18" s="0" t="n">
        <v>2</v>
      </c>
      <c r="DH18" s="0" t="n">
        <v>4</v>
      </c>
    </row>
    <row r="19" customFormat="false" ht="15" hidden="false" customHeight="false" outlineLevel="0" collapsed="false">
      <c r="D19" s="5" t="s">
        <v>21</v>
      </c>
      <c r="E19" s="2" t="n">
        <f aca="false">E18+1</f>
        <v>12</v>
      </c>
      <c r="F19" s="9" t="n">
        <v>345</v>
      </c>
      <c r="G19" s="9" t="n">
        <v>345</v>
      </c>
      <c r="H19" s="9" t="n">
        <v>345</v>
      </c>
      <c r="I19" s="9" t="n">
        <v>345</v>
      </c>
      <c r="J19" s="9" t="n">
        <v>345</v>
      </c>
      <c r="K19" s="9" t="n">
        <v>345</v>
      </c>
      <c r="L19" s="9" t="n">
        <v>345</v>
      </c>
      <c r="N19" s="8" t="n">
        <v>0.7</v>
      </c>
      <c r="O19" s="8"/>
      <c r="P19" s="8" t="n">
        <v>0.7</v>
      </c>
      <c r="Q19" s="8"/>
      <c r="R19" s="8"/>
      <c r="S19" s="8" t="n">
        <v>0.75</v>
      </c>
      <c r="T19" s="8"/>
      <c r="U19" s="8" t="n">
        <v>0.8</v>
      </c>
      <c r="V19" s="8"/>
      <c r="W19" s="8" t="n">
        <v>0.8</v>
      </c>
      <c r="X19" s="8"/>
      <c r="Y19" s="8"/>
      <c r="Z19" s="8" t="n">
        <v>0.9</v>
      </c>
      <c r="AA19" s="8"/>
      <c r="AB19" s="8" t="n">
        <v>0.9</v>
      </c>
      <c r="AC19" s="8"/>
      <c r="AD19" s="8" t="n">
        <v>0.95</v>
      </c>
      <c r="AE19" s="8"/>
      <c r="AF19" s="8"/>
      <c r="AG19" s="8" t="n">
        <v>0.95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0" t="n">
        <v>3</v>
      </c>
      <c r="AZ19" s="0" t="n">
        <v>3</v>
      </c>
      <c r="BC19" s="0" t="n">
        <v>3</v>
      </c>
      <c r="BE19" s="0" t="n">
        <v>3</v>
      </c>
      <c r="BG19" s="0" t="n">
        <v>3</v>
      </c>
      <c r="BJ19" s="0" t="n">
        <v>4</v>
      </c>
      <c r="BL19" s="0" t="n">
        <v>5</v>
      </c>
      <c r="BN19" s="0" t="n">
        <v>3</v>
      </c>
      <c r="BQ19" s="0" t="n">
        <v>4</v>
      </c>
      <c r="CH19" s="0" t="n">
        <v>1</v>
      </c>
      <c r="CJ19" s="0" t="n">
        <v>1</v>
      </c>
      <c r="CM19" s="0" t="n">
        <v>1</v>
      </c>
      <c r="CO19" s="0" t="n">
        <v>1</v>
      </c>
      <c r="CQ19" s="0" t="n">
        <v>1</v>
      </c>
      <c r="CT19" s="0" t="n">
        <v>1</v>
      </c>
      <c r="CV19" s="0" t="n">
        <v>5</v>
      </c>
      <c r="CX19" s="0" t="n">
        <v>4</v>
      </c>
      <c r="DA19" s="0" t="n">
        <v>3</v>
      </c>
      <c r="DH19" s="0" t="n">
        <v>3</v>
      </c>
    </row>
    <row r="20" customFormat="false" ht="15" hidden="false" customHeight="false" outlineLevel="0" collapsed="false">
      <c r="D20" s="5" t="s">
        <v>22</v>
      </c>
      <c r="E20" s="2" t="n">
        <f aca="false">E19+1</f>
        <v>13</v>
      </c>
      <c r="F20" s="9" t="n">
        <v>345</v>
      </c>
      <c r="G20" s="9" t="n">
        <v>345</v>
      </c>
      <c r="H20" s="9" t="n">
        <v>345</v>
      </c>
      <c r="I20" s="9" t="n">
        <v>345</v>
      </c>
      <c r="J20" s="9" t="n">
        <v>345</v>
      </c>
      <c r="K20" s="9" t="n">
        <v>345</v>
      </c>
      <c r="L20" s="9" t="n">
        <v>345</v>
      </c>
      <c r="N20" s="8" t="n">
        <v>0.7</v>
      </c>
      <c r="O20" s="8"/>
      <c r="P20" s="8" t="n">
        <v>0.75</v>
      </c>
      <c r="Q20" s="8"/>
      <c r="R20" s="8"/>
      <c r="S20" s="8"/>
      <c r="T20" s="8"/>
      <c r="U20" s="8" t="n">
        <v>0.8</v>
      </c>
      <c r="V20" s="8"/>
      <c r="W20" s="8" t="n">
        <v>0.85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0" t="n">
        <v>3</v>
      </c>
      <c r="AZ20" s="0" t="n">
        <v>4</v>
      </c>
      <c r="BE20" s="0" t="n">
        <v>3</v>
      </c>
      <c r="BG20" s="0" t="n">
        <v>4</v>
      </c>
      <c r="BL20" s="0" t="n">
        <v>5</v>
      </c>
      <c r="BS20" s="0" t="n">
        <v>4</v>
      </c>
      <c r="CH20" s="0" t="n">
        <v>1</v>
      </c>
      <c r="CJ20" s="0" t="n">
        <v>1</v>
      </c>
      <c r="CO20" s="0" t="n">
        <v>1</v>
      </c>
      <c r="CQ20" s="0" t="n">
        <v>4</v>
      </c>
      <c r="CV20" s="0" t="n">
        <v>2</v>
      </c>
      <c r="DC20" s="0" t="n">
        <v>3</v>
      </c>
    </row>
    <row r="21" customFormat="false" ht="15" hidden="false" customHeight="false" outlineLevel="0" collapsed="false">
      <c r="D21" s="5"/>
      <c r="E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customFormat="false" ht="15" hidden="true" customHeight="false" outlineLevel="1" collapsed="false">
      <c r="D22" s="5"/>
      <c r="E22" s="4" t="s">
        <v>10</v>
      </c>
      <c r="F22" s="4" t="s">
        <v>11</v>
      </c>
      <c r="G22" s="4" t="s">
        <v>12</v>
      </c>
      <c r="H22" s="4" t="s">
        <v>13</v>
      </c>
      <c r="I22" s="4" t="s">
        <v>14</v>
      </c>
      <c r="J22" s="4" t="s">
        <v>15</v>
      </c>
      <c r="K22" s="4" t="s">
        <v>16</v>
      </c>
      <c r="L22" s="4" t="s">
        <v>17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customFormat="false" ht="15" hidden="true" customHeight="false" outlineLevel="1" collapsed="false">
      <c r="D23" s="10" t="s">
        <v>23</v>
      </c>
      <c r="E23" s="2" t="n">
        <v>1</v>
      </c>
      <c r="F23" s="1" t="n">
        <f aca="false">D3</f>
        <v>46111</v>
      </c>
      <c r="G23" s="1" t="n">
        <f aca="false">F23+1</f>
        <v>46112</v>
      </c>
      <c r="H23" s="1" t="n">
        <f aca="false">G23+1</f>
        <v>46113</v>
      </c>
      <c r="I23" s="1" t="n">
        <f aca="false">H23+1</f>
        <v>46114</v>
      </c>
      <c r="J23" s="1" t="n">
        <f aca="false">I23+1</f>
        <v>46115</v>
      </c>
      <c r="K23" s="1" t="n">
        <f aca="false">J23+1</f>
        <v>46116</v>
      </c>
      <c r="L23" s="1" t="n">
        <f aca="false">K23+1</f>
        <v>46117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customFormat="false" ht="15" hidden="true" customHeight="false" outlineLevel="1" collapsed="false">
      <c r="D24" s="5"/>
      <c r="E24" s="2" t="n">
        <f aca="false">E23+1</f>
        <v>2</v>
      </c>
      <c r="F24" s="1" t="n">
        <f aca="false">L23+1</f>
        <v>46118</v>
      </c>
      <c r="G24" s="1" t="n">
        <f aca="false">F24+1</f>
        <v>46119</v>
      </c>
      <c r="H24" s="1" t="n">
        <f aca="false">G24+1</f>
        <v>46120</v>
      </c>
      <c r="I24" s="1" t="n">
        <f aca="false">H24+1</f>
        <v>46121</v>
      </c>
      <c r="J24" s="1" t="n">
        <f aca="false">I24+1</f>
        <v>46122</v>
      </c>
      <c r="K24" s="1" t="n">
        <f aca="false">J24+1</f>
        <v>46123</v>
      </c>
      <c r="L24" s="1" t="n">
        <f aca="false">K24+1</f>
        <v>46124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customFormat="false" ht="15" hidden="true" customHeight="false" outlineLevel="1" collapsed="false">
      <c r="D25" s="5"/>
      <c r="E25" s="2" t="n">
        <f aca="false">E24+1</f>
        <v>3</v>
      </c>
      <c r="F25" s="1" t="n">
        <f aca="false">L24+1</f>
        <v>46125</v>
      </c>
      <c r="G25" s="1" t="n">
        <f aca="false">F25+1</f>
        <v>46126</v>
      </c>
      <c r="H25" s="1" t="n">
        <f aca="false">G25+1</f>
        <v>46127</v>
      </c>
      <c r="I25" s="1" t="n">
        <f aca="false">H25+1</f>
        <v>46128</v>
      </c>
      <c r="J25" s="1" t="n">
        <f aca="false">I25+1</f>
        <v>46129</v>
      </c>
      <c r="K25" s="1" t="n">
        <f aca="false">J25+1</f>
        <v>46130</v>
      </c>
      <c r="L25" s="1" t="n">
        <f aca="false">K25+1</f>
        <v>46131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customFormat="false" ht="15" hidden="true" customHeight="false" outlineLevel="1" collapsed="false">
      <c r="D26" s="5"/>
      <c r="E26" s="2" t="n">
        <f aca="false">E25+1</f>
        <v>4</v>
      </c>
      <c r="F26" s="1" t="n">
        <f aca="false">L25+1</f>
        <v>46132</v>
      </c>
      <c r="G26" s="1" t="n">
        <f aca="false">F26+1</f>
        <v>46133</v>
      </c>
      <c r="H26" s="1" t="n">
        <f aca="false">G26+1</f>
        <v>46134</v>
      </c>
      <c r="I26" s="1" t="n">
        <f aca="false">H26+1</f>
        <v>46135</v>
      </c>
      <c r="J26" s="1" t="n">
        <f aca="false">I26+1</f>
        <v>46136</v>
      </c>
      <c r="K26" s="1" t="n">
        <f aca="false">J26+1</f>
        <v>46137</v>
      </c>
      <c r="L26" s="1" t="n">
        <f aca="false">K26+1</f>
        <v>46138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customFormat="false" ht="15" hidden="true" customHeight="false" outlineLevel="1" collapsed="false">
      <c r="D27" s="5"/>
      <c r="E27" s="2" t="n">
        <f aca="false">E26+1</f>
        <v>5</v>
      </c>
      <c r="F27" s="1" t="n">
        <f aca="false">L26+1</f>
        <v>46139</v>
      </c>
      <c r="G27" s="1" t="n">
        <f aca="false">F27+1</f>
        <v>46140</v>
      </c>
      <c r="H27" s="1" t="n">
        <f aca="false">G27+1</f>
        <v>46141</v>
      </c>
      <c r="I27" s="1" t="n">
        <f aca="false">H27+1</f>
        <v>46142</v>
      </c>
      <c r="J27" s="1" t="n">
        <f aca="false">I27+1</f>
        <v>46143</v>
      </c>
      <c r="K27" s="1" t="n">
        <f aca="false">J27+1</f>
        <v>46144</v>
      </c>
      <c r="L27" s="1" t="n">
        <f aca="false">K27+1</f>
        <v>46145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customFormat="false" ht="15" hidden="true" customHeight="false" outlineLevel="1" collapsed="false">
      <c r="D28" s="5"/>
      <c r="E28" s="2" t="n">
        <f aca="false">E27+1</f>
        <v>6</v>
      </c>
      <c r="F28" s="1" t="n">
        <f aca="false">L27+1</f>
        <v>46146</v>
      </c>
      <c r="G28" s="1" t="n">
        <f aca="false">F28+1</f>
        <v>46147</v>
      </c>
      <c r="H28" s="1" t="n">
        <f aca="false">G28+1</f>
        <v>46148</v>
      </c>
      <c r="I28" s="1" t="n">
        <f aca="false">H28+1</f>
        <v>46149</v>
      </c>
      <c r="J28" s="1" t="n">
        <f aca="false">I28+1</f>
        <v>46150</v>
      </c>
      <c r="K28" s="1" t="n">
        <f aca="false">J28+1</f>
        <v>46151</v>
      </c>
      <c r="L28" s="1" t="n">
        <f aca="false">K28+1</f>
        <v>46152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customFormat="false" ht="15" hidden="true" customHeight="false" outlineLevel="1" collapsed="false">
      <c r="D29" s="5"/>
      <c r="E29" s="2" t="n">
        <f aca="false">E28+1</f>
        <v>7</v>
      </c>
      <c r="F29" s="1" t="n">
        <f aca="false">L28+1</f>
        <v>46153</v>
      </c>
      <c r="G29" s="1" t="n">
        <f aca="false">F29+1</f>
        <v>46154</v>
      </c>
      <c r="H29" s="1" t="n">
        <f aca="false">G29+1</f>
        <v>46155</v>
      </c>
      <c r="I29" s="1" t="n">
        <f aca="false">H29+1</f>
        <v>46156</v>
      </c>
      <c r="J29" s="1" t="n">
        <f aca="false">I29+1</f>
        <v>46157</v>
      </c>
      <c r="K29" s="1" t="n">
        <f aca="false">J29+1</f>
        <v>46158</v>
      </c>
      <c r="L29" s="1" t="n">
        <f aca="false">K29+1</f>
        <v>46159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customFormat="false" ht="15" hidden="true" customHeight="false" outlineLevel="1" collapsed="false">
      <c r="D30" s="5"/>
      <c r="E30" s="2" t="n">
        <f aca="false">E29+1</f>
        <v>8</v>
      </c>
      <c r="F30" s="1" t="n">
        <f aca="false">L29+1</f>
        <v>46160</v>
      </c>
      <c r="G30" s="1" t="n">
        <f aca="false">F30+1</f>
        <v>46161</v>
      </c>
      <c r="H30" s="1" t="n">
        <f aca="false">G30+1</f>
        <v>46162</v>
      </c>
      <c r="I30" s="1" t="n">
        <f aca="false">H30+1</f>
        <v>46163</v>
      </c>
      <c r="J30" s="1" t="n">
        <f aca="false">I30+1</f>
        <v>46164</v>
      </c>
      <c r="K30" s="1" t="n">
        <f aca="false">J30+1</f>
        <v>46165</v>
      </c>
      <c r="L30" s="1" t="n">
        <f aca="false">K30+1</f>
        <v>46166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customFormat="false" ht="15" hidden="true" customHeight="false" outlineLevel="1" collapsed="false">
      <c r="D31" s="5"/>
      <c r="E31" s="2" t="n">
        <f aca="false">E30+1</f>
        <v>9</v>
      </c>
      <c r="F31" s="1" t="n">
        <f aca="false">L30+1</f>
        <v>46167</v>
      </c>
      <c r="G31" s="1" t="n">
        <f aca="false">F31+1</f>
        <v>46168</v>
      </c>
      <c r="H31" s="1" t="n">
        <f aca="false">G31+1</f>
        <v>46169</v>
      </c>
      <c r="I31" s="1" t="n">
        <f aca="false">H31+1</f>
        <v>46170</v>
      </c>
      <c r="J31" s="1" t="n">
        <f aca="false">I31+1</f>
        <v>46171</v>
      </c>
      <c r="K31" s="1" t="n">
        <f aca="false">J31+1</f>
        <v>46172</v>
      </c>
      <c r="L31" s="1" t="n">
        <f aca="false">K31+1</f>
        <v>46173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customFormat="false" ht="15" hidden="true" customHeight="false" outlineLevel="1" collapsed="false">
      <c r="D32" s="5"/>
      <c r="E32" s="2" t="n">
        <f aca="false">E31+1</f>
        <v>10</v>
      </c>
      <c r="F32" s="1" t="n">
        <f aca="false">L31+1</f>
        <v>46174</v>
      </c>
      <c r="G32" s="1" t="n">
        <f aca="false">F32+1</f>
        <v>46175</v>
      </c>
      <c r="H32" s="1" t="n">
        <f aca="false">G32+1</f>
        <v>46176</v>
      </c>
      <c r="I32" s="1" t="n">
        <f aca="false">H32+1</f>
        <v>46177</v>
      </c>
      <c r="J32" s="1" t="n">
        <f aca="false">I32+1</f>
        <v>46178</v>
      </c>
      <c r="K32" s="1" t="n">
        <f aca="false">J32+1</f>
        <v>46179</v>
      </c>
      <c r="L32" s="1" t="n">
        <f aca="false">K32+1</f>
        <v>46180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customFormat="false" ht="15" hidden="true" customHeight="false" outlineLevel="1" collapsed="false">
      <c r="D33" s="5"/>
      <c r="E33" s="2" t="n">
        <f aca="false">E32+1</f>
        <v>11</v>
      </c>
      <c r="F33" s="1" t="n">
        <f aca="false">L32+1</f>
        <v>46181</v>
      </c>
      <c r="G33" s="1" t="n">
        <f aca="false">F33+1</f>
        <v>46182</v>
      </c>
      <c r="H33" s="1" t="n">
        <f aca="false">G33+1</f>
        <v>46183</v>
      </c>
      <c r="I33" s="1" t="n">
        <f aca="false">H33+1</f>
        <v>46184</v>
      </c>
      <c r="J33" s="1" t="n">
        <f aca="false">I33+1</f>
        <v>46185</v>
      </c>
      <c r="K33" s="1" t="n">
        <f aca="false">J33+1</f>
        <v>46186</v>
      </c>
      <c r="L33" s="1" t="n">
        <f aca="false">K33+1</f>
        <v>46187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customFormat="false" ht="15" hidden="true" customHeight="false" outlineLevel="1" collapsed="false">
      <c r="D34" s="5"/>
      <c r="E34" s="2" t="n">
        <f aca="false">E33+1</f>
        <v>12</v>
      </c>
      <c r="F34" s="11" t="n">
        <f aca="false">L33+1</f>
        <v>46188</v>
      </c>
      <c r="G34" s="11" t="n">
        <f aca="false">F34+1</f>
        <v>46189</v>
      </c>
      <c r="H34" s="11" t="n">
        <f aca="false">G34+1</f>
        <v>46190</v>
      </c>
      <c r="I34" s="11" t="n">
        <f aca="false">H34+1</f>
        <v>46191</v>
      </c>
      <c r="J34" s="11" t="n">
        <f aca="false">I34+1</f>
        <v>46192</v>
      </c>
      <c r="K34" s="1" t="n">
        <f aca="false">J34+1</f>
        <v>46193</v>
      </c>
      <c r="L34" s="1" t="n">
        <f aca="false">K34+1</f>
        <v>46194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customFormat="false" ht="15" hidden="true" customHeight="false" outlineLevel="1" collapsed="false">
      <c r="D35" s="5"/>
      <c r="E35" s="2" t="n">
        <f aca="false">E34+1</f>
        <v>13</v>
      </c>
      <c r="F35" s="1" t="n">
        <f aca="false">L34+1</f>
        <v>46195</v>
      </c>
      <c r="G35" s="1" t="n">
        <f aca="false">F35+1</f>
        <v>46196</v>
      </c>
      <c r="H35" s="1" t="n">
        <f aca="false">G35+1</f>
        <v>46197</v>
      </c>
      <c r="I35" s="1" t="n">
        <f aca="false">H35+1</f>
        <v>46198</v>
      </c>
      <c r="J35" s="1" t="n">
        <f aca="false">I35+1</f>
        <v>46199</v>
      </c>
      <c r="K35" s="1" t="n">
        <f aca="false">J35+1</f>
        <v>46200</v>
      </c>
      <c r="L35" s="1" t="n">
        <f aca="false">K35+1</f>
        <v>46201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customFormat="false" ht="15" hidden="false" customHeight="false" outlineLevel="0" collapsed="false">
      <c r="E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customFormat="false" ht="15" hidden="true" customHeight="false" outlineLevel="1" collapsed="false">
      <c r="E37" s="2" t="n">
        <f aca="false">E8</f>
        <v>1</v>
      </c>
      <c r="F37" s="0" t="n">
        <f aca="false">COUNTA(N8,U8,AB8,AI8,AP8)</f>
        <v>4</v>
      </c>
      <c r="G37" s="0" t="n">
        <f aca="false">COUNTA(O8,V8,AC8,AJ8,AQ8)</f>
        <v>4</v>
      </c>
      <c r="H37" s="0" t="n">
        <f aca="false">COUNTA(P8,W8,AD8,AK8,AR8)</f>
        <v>4</v>
      </c>
      <c r="I37" s="0" t="n">
        <f aca="false">COUNTA(Q8,X8,AE8,AL8,AS8)</f>
        <v>0</v>
      </c>
      <c r="J37" s="0" t="n">
        <f aca="false">COUNTA(R8,Y8,AF8,AM8,AT8)</f>
        <v>0</v>
      </c>
      <c r="K37" s="0" t="n">
        <f aca="false">COUNTA(S8,Z8,AG8,AN8,AU8)</f>
        <v>0</v>
      </c>
      <c r="L37" s="0" t="n">
        <f aca="false">COUNTA(T8,AA8,AH8,AO8,AV8)</f>
        <v>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customFormat="false" ht="15" hidden="true" customHeight="false" outlineLevel="1" collapsed="false">
      <c r="E38" s="2" t="n">
        <f aca="false">E9</f>
        <v>2</v>
      </c>
      <c r="F38" s="0" t="n">
        <f aca="false">COUNTA(N9,U9,AB9,AI9,AP9)</f>
        <v>1</v>
      </c>
      <c r="G38" s="0" t="n">
        <f aca="false">COUNTA(O9,V9,AC9,AJ9,AQ9)</f>
        <v>0</v>
      </c>
      <c r="H38" s="0" t="n">
        <f aca="false">COUNTA(P9,W9,AD9,AK9,AR9)</f>
        <v>1</v>
      </c>
      <c r="I38" s="0" t="n">
        <f aca="false">COUNTA(Q9,X9,AE9,AL9,AS9)</f>
        <v>0</v>
      </c>
      <c r="J38" s="0" t="n">
        <f aca="false">COUNTA(R9,Y9,AF9,AM9,AT9)</f>
        <v>1</v>
      </c>
      <c r="K38" s="0" t="n">
        <f aca="false">COUNTA(S9,Z9,AG9,AN9,AU9)</f>
        <v>0</v>
      </c>
      <c r="L38" s="0" t="n">
        <f aca="false">COUNTA(T9,AA9,AH9,AO9,AV9)</f>
        <v>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customFormat="false" ht="15" hidden="true" customHeight="false" outlineLevel="1" collapsed="false">
      <c r="E39" s="2" t="n">
        <f aca="false">E10</f>
        <v>3</v>
      </c>
      <c r="F39" s="0" t="n">
        <f aca="false">COUNTA(N10,U10,AB10,AI10,AP10)</f>
        <v>1</v>
      </c>
      <c r="G39" s="0" t="n">
        <f aca="false">COUNTA(O10,V10,AC10,AJ10,AQ10)</f>
        <v>0</v>
      </c>
      <c r="H39" s="0" t="n">
        <f aca="false">COUNTA(P10,W10,AD10,AK10,AR10)</f>
        <v>1</v>
      </c>
      <c r="I39" s="0" t="n">
        <f aca="false">COUNTA(Q10,X10,AE10,AL10,AS10)</f>
        <v>0</v>
      </c>
      <c r="J39" s="0" t="n">
        <f aca="false">COUNTA(R10,Y10,AF10,AM10,AT10)</f>
        <v>1</v>
      </c>
      <c r="K39" s="0" t="n">
        <f aca="false">COUNTA(S10,Z10,AG10,AN10,AU10)</f>
        <v>1</v>
      </c>
      <c r="L39" s="0" t="n">
        <f aca="false">COUNTA(T10,AA10,AH10,AO10,AV10)</f>
        <v>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customFormat="false" ht="15" hidden="true" customHeight="false" outlineLevel="1" collapsed="false">
      <c r="E40" s="2" t="n">
        <f aca="false">E11</f>
        <v>4</v>
      </c>
      <c r="F40" s="0" t="n">
        <f aca="false">COUNTA(N11,U11,AB11,AI11,AP11)</f>
        <v>1</v>
      </c>
      <c r="G40" s="0" t="n">
        <f aca="false">COUNTA(O11,V11,AC11,AJ11,AQ11)</f>
        <v>0</v>
      </c>
      <c r="H40" s="0" t="n">
        <f aca="false">COUNTA(P11,W11,AD11,AK11,AR11)</f>
        <v>1</v>
      </c>
      <c r="I40" s="0" t="n">
        <f aca="false">COUNTA(Q11,X11,AE11,AL11,AS11)</f>
        <v>0</v>
      </c>
      <c r="J40" s="0" t="n">
        <f aca="false">COUNTA(R11,Y11,AF11,AM11,AT11)</f>
        <v>1</v>
      </c>
      <c r="K40" s="0" t="n">
        <f aca="false">COUNTA(S11,Z11,AG11,AN11,AU11)</f>
        <v>1</v>
      </c>
      <c r="L40" s="0" t="n">
        <f aca="false">COUNTA(T11,AA11,AH11,AO11,AV11)</f>
        <v>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customFormat="false" ht="15" hidden="true" customHeight="false" outlineLevel="1" collapsed="false">
      <c r="E41" s="2" t="n">
        <f aca="false">E12</f>
        <v>5</v>
      </c>
      <c r="F41" s="0" t="n">
        <f aca="false">COUNTA(N12,U12,AB12,AI12,AP12)</f>
        <v>1</v>
      </c>
      <c r="G41" s="0" t="n">
        <f aca="false">COUNTA(O12,V12,AC12,AJ12,AQ12)</f>
        <v>0</v>
      </c>
      <c r="H41" s="0" t="n">
        <f aca="false">COUNTA(P12,W12,AD12,AK12,AR12)</f>
        <v>1</v>
      </c>
      <c r="I41" s="0" t="n">
        <f aca="false">COUNTA(Q12,X12,AE12,AL12,AS12)</f>
        <v>0</v>
      </c>
      <c r="J41" s="0" t="n">
        <f aca="false">COUNTA(R12,Y12,AF12,AM12,AT12)</f>
        <v>1</v>
      </c>
      <c r="K41" s="0" t="n">
        <f aca="false">COUNTA(S12,Z12,AG12,AN12,AU12)</f>
        <v>1</v>
      </c>
      <c r="L41" s="0" t="n">
        <f aca="false">COUNTA(T12,AA12,AH12,AO12,AV12)</f>
        <v>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customFormat="false" ht="15" hidden="true" customHeight="false" outlineLevel="1" collapsed="false">
      <c r="E42" s="2" t="n">
        <f aca="false">E13</f>
        <v>6</v>
      </c>
      <c r="F42" s="0" t="n">
        <f aca="false">COUNTA(N13,U13,AB13,AI13,AP13)</f>
        <v>0</v>
      </c>
      <c r="G42" s="0" t="n">
        <f aca="false">COUNTA(O13,V13,AC13,AJ13,AQ13)</f>
        <v>0</v>
      </c>
      <c r="H42" s="0" t="n">
        <f aca="false">COUNTA(P13,W13,AD13,AK13,AR13)</f>
        <v>0</v>
      </c>
      <c r="I42" s="0" t="n">
        <f aca="false">COUNTA(Q13,X13,AE13,AL13,AS13)</f>
        <v>0</v>
      </c>
      <c r="J42" s="0" t="n">
        <f aca="false">COUNTA(R13,Y13,AF13,AM13,AT13)</f>
        <v>0</v>
      </c>
      <c r="K42" s="0" t="n">
        <f aca="false">COUNTA(S13,Z13,AG13,AN13,AU13)</f>
        <v>0</v>
      </c>
      <c r="L42" s="0" t="n">
        <f aca="false">COUNTA(T13,AA13,AH13,AO13,AV13)</f>
        <v>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customFormat="false" ht="15" hidden="true" customHeight="false" outlineLevel="1" collapsed="false">
      <c r="E43" s="2" t="n">
        <f aca="false">E14</f>
        <v>7</v>
      </c>
      <c r="F43" s="0" t="n">
        <f aca="false">COUNTA(N14,U14,AB14,AI14,AP14)</f>
        <v>0</v>
      </c>
      <c r="G43" s="0" t="n">
        <f aca="false">COUNTA(O14,V14,AC14,AJ14,AQ14)</f>
        <v>0</v>
      </c>
      <c r="H43" s="0" t="n">
        <f aca="false">COUNTA(P14,W14,AD14,AK14,AR14)</f>
        <v>0</v>
      </c>
      <c r="I43" s="0" t="n">
        <f aca="false">COUNTA(Q14,X14,AE14,AL14,AS14)</f>
        <v>0</v>
      </c>
      <c r="J43" s="0" t="n">
        <f aca="false">COUNTA(R14,Y14,AF14,AM14,AT14)</f>
        <v>0</v>
      </c>
      <c r="K43" s="0" t="n">
        <f aca="false">COUNTA(S14,Z14,AG14,AN14,AU14)</f>
        <v>0</v>
      </c>
      <c r="L43" s="0" t="n">
        <f aca="false">COUNTA(T14,AA14,AH14,AO14,AV14)</f>
        <v>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customFormat="false" ht="15" hidden="true" customHeight="false" outlineLevel="1" collapsed="false">
      <c r="E44" s="2" t="n">
        <f aca="false">E15</f>
        <v>8</v>
      </c>
      <c r="F44" s="0" t="n">
        <f aca="false">COUNTA(N15,U15,AB15,AI15,AP15)</f>
        <v>0</v>
      </c>
      <c r="G44" s="0" t="n">
        <f aca="false">COUNTA(O15,V15,AC15,AJ15,AQ15)</f>
        <v>0</v>
      </c>
      <c r="H44" s="0" t="n">
        <f aca="false">COUNTA(P15,W15,AD15,AK15,AR15)</f>
        <v>0</v>
      </c>
      <c r="I44" s="0" t="n">
        <f aca="false">COUNTA(Q15,X15,AE15,AL15,AS15)</f>
        <v>0</v>
      </c>
      <c r="J44" s="0" t="n">
        <f aca="false">COUNTA(R15,Y15,AF15,AM15,AT15)</f>
        <v>0</v>
      </c>
      <c r="K44" s="0" t="n">
        <f aca="false">COUNTA(S15,Z15,AG15,AN15,AU15)</f>
        <v>0</v>
      </c>
      <c r="L44" s="0" t="n">
        <f aca="false">COUNTA(T15,AA15,AH15,AO15,AV15)</f>
        <v>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customFormat="false" ht="15" hidden="true" customHeight="false" outlineLevel="1" collapsed="false">
      <c r="E45" s="2" t="n">
        <f aca="false">E16</f>
        <v>9</v>
      </c>
      <c r="F45" s="0" t="n">
        <f aca="false">COUNTA(N16,U16,AB16,AI16,AP16)</f>
        <v>4</v>
      </c>
      <c r="G45" s="0" t="n">
        <f aca="false">COUNTA(O16,V16,AC16,AJ16,AQ16)</f>
        <v>0</v>
      </c>
      <c r="H45" s="0" t="n">
        <f aca="false">COUNTA(P16,W16,AD16,AK16,AR16)</f>
        <v>5</v>
      </c>
      <c r="I45" s="0" t="n">
        <f aca="false">COUNTA(Q16,X16,AE16,AL16,AS16)</f>
        <v>0</v>
      </c>
      <c r="J45" s="0" t="n">
        <f aca="false">COUNTA(R16,Y16,AF16,AM16,AT16)</f>
        <v>0</v>
      </c>
      <c r="K45" s="0" t="n">
        <f aca="false">COUNTA(S16,Z16,AG16,AN16,AU16)</f>
        <v>3</v>
      </c>
      <c r="L45" s="0" t="n">
        <f aca="false">COUNTA(T16,AA16,AH16,AO16,AV16)</f>
        <v>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customFormat="false" ht="15" hidden="true" customHeight="false" outlineLevel="1" collapsed="false">
      <c r="E46" s="2" t="n">
        <f aca="false">E17</f>
        <v>10</v>
      </c>
      <c r="F46" s="0" t="n">
        <f aca="false">COUNTA(N17,U17,AB17,AI17,AP17)</f>
        <v>5</v>
      </c>
      <c r="G46" s="0" t="n">
        <f aca="false">COUNTA(O17,V17,AC17,AJ17,AQ17)</f>
        <v>0</v>
      </c>
      <c r="H46" s="0" t="n">
        <f aca="false">COUNTA(P17,W17,AD17,AK17,AR17)</f>
        <v>5</v>
      </c>
      <c r="I46" s="0" t="n">
        <f aca="false">COUNTA(Q17,X17,AE17,AL17,AS17)</f>
        <v>0</v>
      </c>
      <c r="J46" s="0" t="n">
        <f aca="false">COUNTA(R17,Y17,AF17,AM17,AT17)</f>
        <v>0</v>
      </c>
      <c r="K46" s="0" t="n">
        <f aca="false">COUNTA(S17,Z17,AG17,AN17,AU17)</f>
        <v>4</v>
      </c>
      <c r="L46" s="0" t="n">
        <f aca="false">COUNTA(T17,AA17,AH17,AO17,AV17)</f>
        <v>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customFormat="false" ht="15" hidden="true" customHeight="false" outlineLevel="1" collapsed="false">
      <c r="E47" s="2" t="n">
        <f aca="false">E18</f>
        <v>11</v>
      </c>
      <c r="F47" s="0" t="n">
        <f aca="false">COUNTA(N18,U18,AB18,AI18,AP18)</f>
        <v>4</v>
      </c>
      <c r="G47" s="0" t="n">
        <f aca="false">COUNTA(O18,V18,AC18,AJ18,AQ18)</f>
        <v>0</v>
      </c>
      <c r="H47" s="0" t="n">
        <f aca="false">COUNTA(P18,W18,AD18,AK18,AR18)</f>
        <v>4</v>
      </c>
      <c r="I47" s="0" t="n">
        <f aca="false">COUNTA(Q18,X18,AE18,AL18,AS18)</f>
        <v>0</v>
      </c>
      <c r="J47" s="0" t="n">
        <f aca="false">COUNTA(R18,Y18,AF18,AM18,AT18)</f>
        <v>0</v>
      </c>
      <c r="K47" s="0" t="n">
        <f aca="false">COUNTA(S18,Z18,AG18,AN18,AU18)</f>
        <v>4</v>
      </c>
      <c r="L47" s="0" t="n">
        <f aca="false">COUNTA(T18,AA18,AH18,AO18,AV18)</f>
        <v>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customFormat="false" ht="15" hidden="true" customHeight="false" outlineLevel="1" collapsed="false">
      <c r="E48" s="2" t="n">
        <f aca="false">E19</f>
        <v>12</v>
      </c>
      <c r="F48" s="0" t="n">
        <f aca="false">COUNTA(N19,U19,AB19,AI19,AP19)</f>
        <v>3</v>
      </c>
      <c r="G48" s="0" t="n">
        <f aca="false">COUNTA(O19,V19,AC19,AJ19,AQ19)</f>
        <v>0</v>
      </c>
      <c r="H48" s="0" t="n">
        <f aca="false">COUNTA(P19,W19,AD19,AK19,AR19)</f>
        <v>3</v>
      </c>
      <c r="I48" s="0" t="n">
        <f aca="false">COUNTA(Q19,X19,AE19,AL19,AS19)</f>
        <v>0</v>
      </c>
      <c r="J48" s="0" t="n">
        <f aca="false">COUNTA(R19,Y19,AF19,AM19,AT19)</f>
        <v>0</v>
      </c>
      <c r="K48" s="0" t="n">
        <f aca="false">COUNTA(S19,Z19,AG19,AN19,AU19)</f>
        <v>3</v>
      </c>
      <c r="L48" s="0" t="n">
        <f aca="false">COUNTA(T19,AA19,AH19,AO19,AV19)</f>
        <v>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customFormat="false" ht="15" hidden="true" customHeight="false" outlineLevel="1" collapsed="false">
      <c r="E49" s="2" t="n">
        <f aca="false">E20</f>
        <v>13</v>
      </c>
      <c r="F49" s="0" t="n">
        <f aca="false">COUNTA(N20,U20,AB20,AI20,AP20)</f>
        <v>2</v>
      </c>
      <c r="G49" s="0" t="n">
        <f aca="false">COUNTA(O20,V20,AC20,AJ20,AQ20)</f>
        <v>0</v>
      </c>
      <c r="H49" s="0" t="n">
        <f aca="false">COUNTA(P20,W20,AD20,AK20,AR20)</f>
        <v>2</v>
      </c>
      <c r="I49" s="0" t="n">
        <f aca="false">COUNTA(Q20,X20,AE20,AL20,AS20)</f>
        <v>0</v>
      </c>
      <c r="J49" s="0" t="n">
        <f aca="false">COUNTA(R20,Y20,AF20,AM20,AT20)</f>
        <v>0</v>
      </c>
      <c r="K49" s="0" t="n">
        <f aca="false">COUNTA(S20,Z20,AG20,AN20,AU20)</f>
        <v>0</v>
      </c>
      <c r="L49" s="0" t="n">
        <f aca="false">COUNTA(T20,AA20,AH20,AO20,AV20)</f>
        <v>0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customFormat="false" ht="15" hidden="false" customHeight="false" outlineLevel="0" collapsed="false">
      <c r="E50" s="2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customFormat="false" ht="15" hidden="false" customHeight="false" outlineLevel="0" collapsed="false">
      <c r="F51" s="12" t="s">
        <v>24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customFormat="false" ht="15" hidden="false" customHeight="false" outlineLevel="0" collapsed="false">
      <c r="A52" s="0" t="s">
        <v>25</v>
      </c>
      <c r="B52" s="0" t="s">
        <v>26</v>
      </c>
      <c r="C52" s="13" t="s">
        <v>27</v>
      </c>
      <c r="D52" s="13" t="s">
        <v>9</v>
      </c>
      <c r="E52" s="13" t="s">
        <v>10</v>
      </c>
      <c r="F52" s="13" t="s">
        <v>11</v>
      </c>
      <c r="G52" s="13" t="s">
        <v>12</v>
      </c>
      <c r="H52" s="13" t="s">
        <v>13</v>
      </c>
      <c r="I52" s="13" t="s">
        <v>14</v>
      </c>
      <c r="J52" s="13" t="s">
        <v>15</v>
      </c>
      <c r="K52" s="13" t="s">
        <v>16</v>
      </c>
      <c r="L52" s="13" t="s">
        <v>17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customFormat="false" ht="46.25" hidden="false" customHeight="false" outlineLevel="0" collapsed="false">
      <c r="A53" s="1" t="n">
        <v>43913</v>
      </c>
      <c r="B53" s="1" t="n">
        <f aca="false">A53+6</f>
        <v>43919</v>
      </c>
      <c r="C53" s="14" t="str">
        <f aca="false">TEXT(A53,"MM/DD")&amp;" ~ "&amp;TEXT(B53,"MM/DD")</f>
        <v>03/23 ~ 03/29</v>
      </c>
      <c r="D53" s="15" t="s">
        <v>18</v>
      </c>
      <c r="E53" s="15" t="n">
        <f aca="false">E8</f>
        <v>1</v>
      </c>
      <c r="F53" s="16" t="str">
        <f aca="false">IF(F37=0,
"",
IF(F37=1,
ROUND(F8*N8,0)&amp;"x"&amp;AX8&amp;"x"&amp;CH8,
IF(F37=2,
ROUND(F8*N8,0)&amp;"x"&amp;AX8&amp;"x"&amp;CH8&amp;CHAR(10)&amp;ROUND(F8*U8,0)&amp;"x"&amp;BE8&amp;"x"&amp;CO8,
IF(F37=3,
ROUND(F8*N8,0)&amp;"x"&amp;AX8&amp;"x"&amp;CH8&amp;CHAR(10)&amp;ROUND(F8*U8,0)&amp;"x"&amp;BE8&amp;"x"&amp;CO8&amp;CHAR(10)&amp;ROUND(F8*AB8,0)&amp;"x"&amp;BL8&amp;"x"&amp;CV8,
IF(F37=4,
ROUND(F8*N8,0)&amp;"x"&amp;AX8&amp;"x"&amp;CH8&amp;CHAR(10)&amp;ROUND(F8*U8,0)&amp;"x"&amp;BE8&amp;"x"&amp;CO8&amp;CHAR(10)&amp;ROUND(F8*AB8,0)&amp;"x"&amp;BL8&amp;"x"&amp;CV8&amp;CHAR(10)&amp;ROUND(F8*AI8,0)&amp;"x"&amp;BS8&amp;"x"&amp;DC8,
ROUND(F8*N8,0)&amp;"x"&amp;AX8&amp;"x"&amp;CH8&amp;CHAR(10)&amp;ROUND(F8*U8,0)&amp;"x"&amp;BE8&amp;"x"&amp;CO8&amp;CHAR(10)&amp;ROUND(F8*AB8,0)&amp;"x"&amp;BL8&amp;"x"&amp;CV8&amp;CHAR(10)&amp;ROUND(F8*AI8,0)&amp;"x"&amp;BS8&amp;"x"&amp;DC8&amp;CHAR(10)&amp;ROUND(F8*AP8,0)&amp;"x"&amp;BZ8&amp;"x"&amp;DJ8
)))))</f>
        <v>205x8x3
221x5x1
236x2x2
252x1x1</v>
      </c>
      <c r="G53" s="16" t="str">
        <f aca="false">IF(G37=0,
"",
IF(G37=1,
ROUND(G8*O8,0)&amp;"x"&amp;AY8&amp;"x"&amp;CI8,
IF(G37=2,
ROUND(G8*O8,0)&amp;"x"&amp;AY8&amp;"x"&amp;CI8&amp;CHAR(10)&amp;ROUND(G8*V8,0)&amp;"x"&amp;BF8&amp;"x"&amp;CP8,
IF(G37=3,
ROUND(G8*O8,0)&amp;"x"&amp;AY8&amp;"x"&amp;CI8&amp;CHAR(10)&amp;ROUND(G8*V8,0)&amp;"x"&amp;BF8&amp;"x"&amp;CP8&amp;CHAR(10)&amp;ROUND(G8*AC8,0)&amp;"x"&amp;BM8&amp;"x"&amp;CW8,
IF(G37=4,
ROUND(G8*O8,0)&amp;"x"&amp;AY8&amp;"x"&amp;CI8&amp;CHAR(10)&amp;ROUND(G8*V8,0)&amp;"x"&amp;BF8&amp;"x"&amp;CP8&amp;CHAR(10)&amp;ROUND(G8*AC8,0)&amp;"x"&amp;BM8&amp;"x"&amp;CW8&amp;CHAR(10)&amp;ROUND(G8*AJ8,0)&amp;"x"&amp;BT8&amp;"x"&amp;DD8,
ROUND(G8*O8,0)&amp;"x"&amp;AY8&amp;"x"&amp;CI8&amp;CHAR(10)&amp;ROUND(G8*V8,0)&amp;"x"&amp;BF8&amp;"x"&amp;CP8&amp;CHAR(10)&amp;ROUND(G8*AC8,0)&amp;"x"&amp;BM8&amp;"x"&amp;CW8&amp;CHAR(10)&amp;ROUND(G8*AJ8,0)&amp;"x"&amp;BT8&amp;"x"&amp;DD8&amp;CHAR(10)&amp;ROUND(G8*AQ8,0)&amp;"x"&amp;CA8&amp;"x"&amp;DK8
)))))</f>
        <v>205x8x3
221x5x1
236x2x2
252x1x1</v>
      </c>
      <c r="H53" s="16" t="str">
        <f aca="false">IF(H37=0,
"",
IF(H37=1,
ROUND(H8*P8,0)&amp;"x"&amp;AZ8&amp;"x"&amp;CJ8,
IF(H37=2,
ROUND(H8*P8,0)&amp;"x"&amp;AZ8&amp;"x"&amp;CJ8&amp;CHAR(10)&amp;ROUND(H8*W8,0)&amp;"x"&amp;BG8&amp;"x"&amp;CQ8,
IF(H37=3,
ROUND(H8*P8,0)&amp;"x"&amp;AZ8&amp;"x"&amp;CJ8&amp;CHAR(10)&amp;ROUND(H8*W8,0)&amp;"x"&amp;BG8&amp;"x"&amp;CQ8&amp;CHAR(10)&amp;ROUND(H8*AD8,0)&amp;"x"&amp;BN8&amp;"x"&amp;CX8,
IF(H37=4,
ROUND(H8*P8,0)&amp;"x"&amp;AZ8&amp;"x"&amp;CJ8&amp;CHAR(10)&amp;ROUND(H8*W8,0)&amp;"x"&amp;BG8&amp;"x"&amp;CQ8&amp;CHAR(10)&amp;ROUND(H8*AD8,0)&amp;"x"&amp;BN8&amp;"x"&amp;CX8&amp;CHAR(10)&amp;ROUND(H8*AK8,0)&amp;"x"&amp;BU8&amp;"x"&amp;DE8,
ROUND(H8*P8,0)&amp;"x"&amp;AZ8&amp;"x"&amp;CJ8&amp;CHAR(10)&amp;ROUND(H8*W8,0)&amp;"x"&amp;BG8&amp;"x"&amp;CQ8&amp;CHAR(10)&amp;ROUND(H8*AD8,0)&amp;"x"&amp;BN8&amp;"x"&amp;CX8&amp;CHAR(10)&amp;ROUND(H8*AK8,0)&amp;"x"&amp;BU8&amp;"x"&amp;DE8&amp;CHAR(10)&amp;ROUND(H8*AR8,0)&amp;"x"&amp;CB8&amp;"x"&amp;DL8
)))))</f>
        <v>221x5x4
236x3x1
252x2x2
284x1x1</v>
      </c>
      <c r="I53" s="16" t="str">
        <f aca="false">IF(I37=0,
"",
IF(I37=1,
ROUND(I8*Q8,0)&amp;"x"&amp;BA8&amp;"x"&amp;CK8,
IF(I37=2,
ROUND(I8*Q8,0)&amp;"x"&amp;BA8&amp;"x"&amp;CK8&amp;CHAR(10)&amp;ROUND(I8*X8,0)&amp;"x"&amp;BH8&amp;"x"&amp;CR8,
IF(I37=3,
ROUND(I8*Q8,0)&amp;"x"&amp;BA8&amp;"x"&amp;CK8&amp;CHAR(10)&amp;ROUND(I8*X8,0)&amp;"x"&amp;BH8&amp;"x"&amp;CR8&amp;CHAR(10)&amp;ROUND(I8*AE8,0)&amp;"x"&amp;BO8&amp;"x"&amp;CY8,
IF(I37=4,
ROUND(I8*Q8,0)&amp;"x"&amp;BA8&amp;"x"&amp;CK8&amp;CHAR(10)&amp;ROUND(I8*X8,0)&amp;"x"&amp;BH8&amp;"x"&amp;CR8&amp;CHAR(10)&amp;ROUND(I8*AE8,0)&amp;"x"&amp;BO8&amp;"x"&amp;CY8&amp;CHAR(10)&amp;ROUND(I8*AL8,0)&amp;"x"&amp;BV8&amp;"x"&amp;DF8,
ROUND(I8*Q8,0)&amp;"x"&amp;BA8&amp;"x"&amp;CK8&amp;CHAR(10)&amp;ROUND(I8*X8,0)&amp;"x"&amp;BH8&amp;"x"&amp;CR8&amp;CHAR(10)&amp;ROUND(I8*AE8,0)&amp;"x"&amp;BO8&amp;"x"&amp;CY8&amp;CHAR(10)&amp;ROUND(I8*AL8,0)&amp;"x"&amp;BV8&amp;"x"&amp;DF8&amp;CHAR(10)&amp;ROUND(I8*AS8,0)&amp;"x"&amp;CC8&amp;"x"&amp;DM8
)))))</f>
        <v/>
      </c>
      <c r="J53" s="16" t="str">
        <f aca="false">IF(J37=0,
"",
IF(J37=1,
ROUND(J8*R8,0)&amp;"x"&amp;BB8&amp;"x"&amp;CL8,
IF(J37=2,
ROUND(J8*R8,0)&amp;"x"&amp;BB8&amp;"x"&amp;CL8&amp;CHAR(10)&amp;ROUND(J8*Y8,0)&amp;"x"&amp;BI8&amp;"x"&amp;CS8,
IF(J37=3,
ROUND(J8*R8,0)&amp;"x"&amp;BB8&amp;"x"&amp;CL8&amp;CHAR(10)&amp;ROUND(J8*Y8,0)&amp;"x"&amp;BI8&amp;"x"&amp;CS8&amp;CHAR(10)&amp;ROUND(J8*AF8,0)&amp;"x"&amp;BP8&amp;"x"&amp;CZ8,
IF(J37=4,
ROUND(J8*R8,0)&amp;"x"&amp;BB8&amp;"x"&amp;CL8&amp;CHAR(10)&amp;ROUND(J8*Y8,0)&amp;"x"&amp;BI8&amp;"x"&amp;CS8&amp;CHAR(10)&amp;ROUND(J8*AF8,0)&amp;"x"&amp;BP8&amp;"x"&amp;CZ8&amp;CHAR(10)&amp;ROUND(J8*AM8,0)&amp;"x"&amp;BW8&amp;"x"&amp;DG8,
ROUND(J8*R8,0)&amp;"x"&amp;BB8&amp;"x"&amp;CL8&amp;CHAR(10)&amp;ROUND(J8*Y8,0)&amp;"x"&amp;BI8&amp;"x"&amp;CS8&amp;CHAR(10)&amp;ROUND(J8*AF8,0)&amp;"x"&amp;BP8&amp;"x"&amp;CZ8&amp;CHAR(10)&amp;ROUND(J8*AM8,0)&amp;"x"&amp;BW8&amp;"x"&amp;DG8&amp;CHAR(10)&amp;ROUND(J8*AT8,0)&amp;"x"&amp;CD8&amp;"x"&amp;DN8
)))))</f>
        <v/>
      </c>
      <c r="K53" s="16" t="str">
        <f aca="false">IF(K37=0,
"",
IF(K37=1,
ROUND(K8*S8,0)&amp;"x"&amp;BC8&amp;"x"&amp;CM8,
IF(K37=2,
ROUND(K8*S8,0)&amp;"x"&amp;BC8&amp;"x"&amp;CM8&amp;CHAR(10)&amp;ROUND(K8*Z8,0)&amp;"x"&amp;BJ8&amp;"x"&amp;CT8,
IF(K37=3,
ROUND(K8*S8,0)&amp;"x"&amp;BC8&amp;"x"&amp;CM8&amp;CHAR(10)&amp;ROUND(K8*Z8,0)&amp;"x"&amp;BJ8&amp;"x"&amp;CT8&amp;CHAR(10)&amp;ROUND(K8*AG8,0)&amp;"x"&amp;BQ8&amp;"x"&amp;DA8,
IF(K37=4,
ROUND(K8*S8,0)&amp;"x"&amp;BC8&amp;"x"&amp;CM8&amp;CHAR(10)&amp;ROUND(K8*Z8,0)&amp;"x"&amp;BJ8&amp;"x"&amp;CT8&amp;CHAR(10)&amp;ROUND(K8*AG8,0)&amp;"x"&amp;BQ8&amp;"x"&amp;DA8&amp;CHAR(10)&amp;ROUND(K8*AN8,0)&amp;"x"&amp;BX8&amp;"x"&amp;DH8,
ROUND(K8*S8,0)&amp;"x"&amp;BC8&amp;"x"&amp;CM8&amp;CHAR(10)&amp;ROUND(K8*Z8,0)&amp;"x"&amp;BJ8&amp;"x"&amp;CT8&amp;CHAR(10)&amp;ROUND(K8*AG8,0)&amp;"x"&amp;BQ8&amp;"x"&amp;DA8&amp;CHAR(10)&amp;ROUND(K8*AN8,0)&amp;"x"&amp;BX8&amp;"x"&amp;DH8&amp;CHAR(10)&amp;ROUND(K8*AU8,0)&amp;"x"&amp;CE8&amp;"x"&amp;DO8
)))))</f>
        <v/>
      </c>
      <c r="L53" s="16" t="str">
        <f aca="false">IF(L37=0,
"",
IF(L37=1,
ROUND(L8*T8,0)&amp;"x"&amp;BD8&amp;"x"&amp;CN8,
IF(L37=2,
ROUND(L8*T8,0)&amp;"x"&amp;BD8&amp;"x"&amp;CN8&amp;CHAR(10)&amp;ROUND(L8*AA8,0)&amp;"x"&amp;BK8&amp;"x"&amp;CU8,
IF(L37=3,
ROUND(L8*T8,0)&amp;"x"&amp;BD8&amp;"x"&amp;CN8&amp;CHAR(10)&amp;ROUND(L8*AA8,0)&amp;"x"&amp;BK8&amp;"x"&amp;CU8&amp;CHAR(10)&amp;ROUND(L8*AH8,0)&amp;"x"&amp;BR8&amp;"x"&amp;DB8,
IF(L37=4,
ROUND(L8*T8,0)&amp;"x"&amp;BD8&amp;"x"&amp;CN8&amp;CHAR(10)&amp;ROUND(L8*AA8,0)&amp;"x"&amp;BK8&amp;"x"&amp;CU8&amp;CHAR(10)&amp;ROUND(L8*AH8,0)&amp;"x"&amp;BR8&amp;"x"&amp;DB8&amp;CHAR(10)&amp;ROUND(L8*AO8,0)&amp;"x"&amp;BY8&amp;"x"&amp;DI8,
ROUND(L8*T8,0)&amp;"x"&amp;BD8&amp;"x"&amp;CN8&amp;CHAR(10)&amp;ROUND(L8*AA8,0)&amp;"x"&amp;BK8&amp;"x"&amp;CU8&amp;CHAR(10)&amp;ROUND(L8*AH8,0)&amp;"x"&amp;BR8&amp;"x"&amp;DB8&amp;CHAR(10)&amp;ROUND(L8*AO8,0)&amp;"x"&amp;BY8&amp;"x"&amp;DI8&amp;CHAR(10)&amp;ROUND(L8*AV8,0)&amp;"x"&amp;CF8&amp;"x"&amp;DP8
)))))</f>
        <v/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customFormat="false" ht="15" hidden="false" customHeight="false" outlineLevel="0" collapsed="false">
      <c r="A54" s="1" t="n">
        <f aca="false">A53+7</f>
        <v>43920</v>
      </c>
      <c r="B54" s="1" t="n">
        <f aca="false">A54+6</f>
        <v>43926</v>
      </c>
      <c r="C54" s="14" t="str">
        <f aca="false">TEXT(A54,"MM/DD")&amp;" ~ "&amp;TEXT(B54,"MM/DD")</f>
        <v>03/30 ~ 04/05</v>
      </c>
      <c r="D54" s="15" t="s">
        <v>18</v>
      </c>
      <c r="E54" s="15" t="n">
        <f aca="false">E9</f>
        <v>2</v>
      </c>
      <c r="F54" s="16" t="str">
        <f aca="false">IF(F38=0,
"",
IF(F38=1,
ROUND(F9*N9,0)&amp;"x"&amp;AX9&amp;"x"&amp;CH9,
IF(F38=2,
ROUND(F9*N9,0)&amp;"x"&amp;AX9&amp;"x"&amp;CH9&amp;CHAR(10)&amp;ROUND(F9*U9,0)&amp;"x"&amp;BE9&amp;"x"&amp;CO9,
IF(F38=3,
ROUND(F9*N9,0)&amp;"x"&amp;AX9&amp;"x"&amp;CH9&amp;CHAR(10)&amp;ROUND(F9*U9,0)&amp;"x"&amp;BE9&amp;"x"&amp;CO9&amp;CHAR(10)&amp;ROUND(F9*AB9,0)&amp;"x"&amp;BL9&amp;"x"&amp;CV9,
IF(F38=4,
ROUND(F9*N9,0)&amp;"x"&amp;AX9&amp;"x"&amp;CH9&amp;CHAR(10)&amp;ROUND(F9*U9,0)&amp;"x"&amp;BE9&amp;"x"&amp;CO9&amp;CHAR(10)&amp;ROUND(F9*AB9,0)&amp;"x"&amp;BL9&amp;"x"&amp;CV9&amp;CHAR(10)&amp;ROUND(F9*AI9,0)&amp;"x"&amp;BS9&amp;"x"&amp;DC9,
ROUND(F9*N9,0)&amp;"x"&amp;AX9&amp;"x"&amp;CH9&amp;CHAR(10)&amp;ROUND(F9*U9,0)&amp;"x"&amp;BE9&amp;"x"&amp;CO9&amp;CHAR(10)&amp;ROUND(F9*AB9,0)&amp;"x"&amp;BL9&amp;"x"&amp;CV9&amp;CHAR(10)&amp;ROUND(F9*AI9,0)&amp;"x"&amp;BS9&amp;"x"&amp;DC9&amp;CHAR(10)&amp;ROUND(F9*AP9,0)&amp;"x"&amp;BZ9&amp;"x"&amp;DJ9
)))))</f>
        <v>252x5x1</v>
      </c>
      <c r="G54" s="16" t="str">
        <f aca="false">IF(G38=0,
"",
IF(G38=1,
ROUND(G9*O9,0)&amp;"x"&amp;AY9&amp;"x"&amp;CI9,
IF(G38=2,
ROUND(G9*O9,0)&amp;"x"&amp;AY9&amp;"x"&amp;CI9&amp;CHAR(10)&amp;ROUND(G9*V9,0)&amp;"x"&amp;BF9&amp;"x"&amp;CP9,
IF(G38=3,
ROUND(G9*O9,0)&amp;"x"&amp;AY9&amp;"x"&amp;CI9&amp;CHAR(10)&amp;ROUND(G9*V9,0)&amp;"x"&amp;BF9&amp;"x"&amp;CP9&amp;CHAR(10)&amp;ROUND(G9*AC9,0)&amp;"x"&amp;BM9&amp;"x"&amp;CW9,
IF(G38=4,
ROUND(G9*O9,0)&amp;"x"&amp;AY9&amp;"x"&amp;CI9&amp;CHAR(10)&amp;ROUND(G9*V9,0)&amp;"x"&amp;BF9&amp;"x"&amp;CP9&amp;CHAR(10)&amp;ROUND(G9*AC9,0)&amp;"x"&amp;BM9&amp;"x"&amp;CW9&amp;CHAR(10)&amp;ROUND(G9*AJ9,0)&amp;"x"&amp;BT9&amp;"x"&amp;DD9,
ROUND(G9*O9,0)&amp;"x"&amp;AY9&amp;"x"&amp;CI9&amp;CHAR(10)&amp;ROUND(G9*V9,0)&amp;"x"&amp;BF9&amp;"x"&amp;CP9&amp;CHAR(10)&amp;ROUND(G9*AC9,0)&amp;"x"&amp;BM9&amp;"x"&amp;CW9&amp;CHAR(10)&amp;ROUND(G9*AJ9,0)&amp;"x"&amp;BT9&amp;"x"&amp;DD9&amp;CHAR(10)&amp;ROUND(G9*AQ9,0)&amp;"x"&amp;CA9&amp;"x"&amp;DK9
)))))</f>
        <v/>
      </c>
      <c r="H54" s="16" t="str">
        <f aca="false">IF(H38=0,
"",
IF(H38=1,
ROUND(H9*P9,0)&amp;"x"&amp;AZ9&amp;"x"&amp;CJ9,
IF(H38=2,
ROUND(H9*P9,0)&amp;"x"&amp;AZ9&amp;"x"&amp;CJ9&amp;CHAR(10)&amp;ROUND(H9*W9,0)&amp;"x"&amp;BG9&amp;"x"&amp;CQ9,
IF(H38=3,
ROUND(H9*P9,0)&amp;"x"&amp;AZ9&amp;"x"&amp;CJ9&amp;CHAR(10)&amp;ROUND(H9*W9,0)&amp;"x"&amp;BG9&amp;"x"&amp;CQ9&amp;CHAR(10)&amp;ROUND(H9*AD9,0)&amp;"x"&amp;BN9&amp;"x"&amp;CX9,
IF(H38=4,
ROUND(H9*P9,0)&amp;"x"&amp;AZ9&amp;"x"&amp;CJ9&amp;CHAR(10)&amp;ROUND(H9*W9,0)&amp;"x"&amp;BG9&amp;"x"&amp;CQ9&amp;CHAR(10)&amp;ROUND(H9*AD9,0)&amp;"x"&amp;BN9&amp;"x"&amp;CX9&amp;CHAR(10)&amp;ROUND(H9*AK9,0)&amp;"x"&amp;BU9&amp;"x"&amp;DE9,
ROUND(H9*P9,0)&amp;"x"&amp;AZ9&amp;"x"&amp;CJ9&amp;CHAR(10)&amp;ROUND(H9*W9,0)&amp;"x"&amp;BG9&amp;"x"&amp;CQ9&amp;CHAR(10)&amp;ROUND(H9*AD9,0)&amp;"x"&amp;BN9&amp;"x"&amp;CX9&amp;CHAR(10)&amp;ROUND(H9*AK9,0)&amp;"x"&amp;BU9&amp;"x"&amp;DE9&amp;CHAR(10)&amp;ROUND(H9*AR9,0)&amp;"x"&amp;CB9&amp;"x"&amp;DL9
)))))</f>
        <v>260x5x1</v>
      </c>
      <c r="I54" s="16" t="str">
        <f aca="false">IF(I38=0,
"",
IF(I38=1,
ROUND(I9*Q9,0)&amp;"x"&amp;BA9&amp;"x"&amp;CK9,
IF(I38=2,
ROUND(I9*Q9,0)&amp;"x"&amp;BA9&amp;"x"&amp;CK9&amp;CHAR(10)&amp;ROUND(I9*X9,0)&amp;"x"&amp;BH9&amp;"x"&amp;CR9,
IF(I38=3,
ROUND(I9*Q9,0)&amp;"x"&amp;BA9&amp;"x"&amp;CK9&amp;CHAR(10)&amp;ROUND(I9*X9,0)&amp;"x"&amp;BH9&amp;"x"&amp;CR9&amp;CHAR(10)&amp;ROUND(I9*AE9,0)&amp;"x"&amp;BO9&amp;"x"&amp;CY9,
IF(I38=4,
ROUND(I9*Q9,0)&amp;"x"&amp;BA9&amp;"x"&amp;CK9&amp;CHAR(10)&amp;ROUND(I9*X9,0)&amp;"x"&amp;BH9&amp;"x"&amp;CR9&amp;CHAR(10)&amp;ROUND(I9*AE9,0)&amp;"x"&amp;BO9&amp;"x"&amp;CY9&amp;CHAR(10)&amp;ROUND(I9*AL9,0)&amp;"x"&amp;BV9&amp;"x"&amp;DF9,
ROUND(I9*Q9,0)&amp;"x"&amp;BA9&amp;"x"&amp;CK9&amp;CHAR(10)&amp;ROUND(I9*X9,0)&amp;"x"&amp;BH9&amp;"x"&amp;CR9&amp;CHAR(10)&amp;ROUND(I9*AE9,0)&amp;"x"&amp;BO9&amp;"x"&amp;CY9&amp;CHAR(10)&amp;ROUND(I9*AL9,0)&amp;"x"&amp;BV9&amp;"x"&amp;DF9&amp;CHAR(10)&amp;ROUND(I9*AS9,0)&amp;"x"&amp;CC9&amp;"x"&amp;DM9
)))))</f>
        <v/>
      </c>
      <c r="J54" s="16" t="str">
        <f aca="false">IF(J38=0,
"",
IF(J38=1,
ROUND(J9*R9,0)&amp;"x"&amp;BB9&amp;"x"&amp;CL9,
IF(J38=2,
ROUND(J9*R9,0)&amp;"x"&amp;BB9&amp;"x"&amp;CL9&amp;CHAR(10)&amp;ROUND(J9*Y9,0)&amp;"x"&amp;BI9&amp;"x"&amp;CS9,
IF(J38=3,
ROUND(J9*R9,0)&amp;"x"&amp;BB9&amp;"x"&amp;CL9&amp;CHAR(10)&amp;ROUND(J9*Y9,0)&amp;"x"&amp;BI9&amp;"x"&amp;CS9&amp;CHAR(10)&amp;ROUND(J9*AF9,0)&amp;"x"&amp;BP9&amp;"x"&amp;CZ9,
IF(J38=4,
ROUND(J9*R9,0)&amp;"x"&amp;BB9&amp;"x"&amp;CL9&amp;CHAR(10)&amp;ROUND(J9*Y9,0)&amp;"x"&amp;BI9&amp;"x"&amp;CS9&amp;CHAR(10)&amp;ROUND(J9*AF9,0)&amp;"x"&amp;BP9&amp;"x"&amp;CZ9&amp;CHAR(10)&amp;ROUND(J9*AM9,0)&amp;"x"&amp;BW9&amp;"x"&amp;DG9,
ROUND(J9*R9,0)&amp;"x"&amp;BB9&amp;"x"&amp;CL9&amp;CHAR(10)&amp;ROUND(J9*Y9,0)&amp;"x"&amp;BI9&amp;"x"&amp;CS9&amp;CHAR(10)&amp;ROUND(J9*AF9,0)&amp;"x"&amp;BP9&amp;"x"&amp;CZ9&amp;CHAR(10)&amp;ROUND(J9*AM9,0)&amp;"x"&amp;BW9&amp;"x"&amp;DG9&amp;CHAR(10)&amp;ROUND(J9*AT9,0)&amp;"x"&amp;CD9&amp;"x"&amp;DN9
)))))</f>
        <v>268x5x1</v>
      </c>
      <c r="K54" s="16" t="str">
        <f aca="false">IF(K38=0,
"",
IF(K38=1,
ROUND(K9*S9,0)&amp;"x"&amp;BC9&amp;"x"&amp;CM9,
IF(K38=2,
ROUND(K9*S9,0)&amp;"x"&amp;BC9&amp;"x"&amp;CM9&amp;CHAR(10)&amp;ROUND(K9*Z9,0)&amp;"x"&amp;BJ9&amp;"x"&amp;CT9,
IF(K38=3,
ROUND(K9*S9,0)&amp;"x"&amp;BC9&amp;"x"&amp;CM9&amp;CHAR(10)&amp;ROUND(K9*Z9,0)&amp;"x"&amp;BJ9&amp;"x"&amp;CT9&amp;CHAR(10)&amp;ROUND(K9*AG9,0)&amp;"x"&amp;BQ9&amp;"x"&amp;DA9,
IF(K38=4,
ROUND(K9*S9,0)&amp;"x"&amp;BC9&amp;"x"&amp;CM9&amp;CHAR(10)&amp;ROUND(K9*Z9,0)&amp;"x"&amp;BJ9&amp;"x"&amp;CT9&amp;CHAR(10)&amp;ROUND(K9*AG9,0)&amp;"x"&amp;BQ9&amp;"x"&amp;DA9&amp;CHAR(10)&amp;ROUND(K9*AN9,0)&amp;"x"&amp;BX9&amp;"x"&amp;DH9,
ROUND(K9*S9,0)&amp;"x"&amp;BC9&amp;"x"&amp;CM9&amp;CHAR(10)&amp;ROUND(K9*Z9,0)&amp;"x"&amp;BJ9&amp;"x"&amp;CT9&amp;CHAR(10)&amp;ROUND(K9*AG9,0)&amp;"x"&amp;BQ9&amp;"x"&amp;DA9&amp;CHAR(10)&amp;ROUND(K9*AN9,0)&amp;"x"&amp;BX9&amp;"x"&amp;DH9&amp;CHAR(10)&amp;ROUND(K9*AU9,0)&amp;"x"&amp;CE9&amp;"x"&amp;DO9
)))))</f>
        <v/>
      </c>
      <c r="L54" s="16" t="str">
        <f aca="false">IF(L38=0,
"",
IF(L38=1,
ROUND(L9*T9,0)&amp;"x"&amp;BD9&amp;"x"&amp;CN9,
IF(L38=2,
ROUND(L9*T9,0)&amp;"x"&amp;BD9&amp;"x"&amp;CN9&amp;CHAR(10)&amp;ROUND(L9*AA9,0)&amp;"x"&amp;BK9&amp;"x"&amp;CU9,
IF(L38=3,
ROUND(L9*T9,0)&amp;"x"&amp;BD9&amp;"x"&amp;CN9&amp;CHAR(10)&amp;ROUND(L9*AA9,0)&amp;"x"&amp;BK9&amp;"x"&amp;CU9&amp;CHAR(10)&amp;ROUND(L9*AH9,0)&amp;"x"&amp;BR9&amp;"x"&amp;DB9,
IF(L38=4,
ROUND(L9*T9,0)&amp;"x"&amp;BD9&amp;"x"&amp;CN9&amp;CHAR(10)&amp;ROUND(L9*AA9,0)&amp;"x"&amp;BK9&amp;"x"&amp;CU9&amp;CHAR(10)&amp;ROUND(L9*AH9,0)&amp;"x"&amp;BR9&amp;"x"&amp;DB9&amp;CHAR(10)&amp;ROUND(L9*AO9,0)&amp;"x"&amp;BY9&amp;"x"&amp;DI9,
ROUND(L9*T9,0)&amp;"x"&amp;BD9&amp;"x"&amp;CN9&amp;CHAR(10)&amp;ROUND(L9*AA9,0)&amp;"x"&amp;BK9&amp;"x"&amp;CU9&amp;CHAR(10)&amp;ROUND(L9*AH9,0)&amp;"x"&amp;BR9&amp;"x"&amp;DB9&amp;CHAR(10)&amp;ROUND(L9*AO9,0)&amp;"x"&amp;BY9&amp;"x"&amp;DI9&amp;CHAR(10)&amp;ROUND(L9*AV9,0)&amp;"x"&amp;CF9&amp;"x"&amp;DP9
)))))</f>
        <v/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customFormat="false" ht="15" hidden="false" customHeight="false" outlineLevel="0" collapsed="false">
      <c r="A55" s="1" t="n">
        <f aca="false">A54+7</f>
        <v>43927</v>
      </c>
      <c r="B55" s="1" t="n">
        <f aca="false">A55+6</f>
        <v>43933</v>
      </c>
      <c r="C55" s="14" t="str">
        <f aca="false">TEXT(A55,"MM/DD")&amp;" ~ "&amp;TEXT(B55,"MM/DD")</f>
        <v>04/06 ~ 04/12</v>
      </c>
      <c r="D55" s="15" t="s">
        <v>19</v>
      </c>
      <c r="E55" s="15" t="n">
        <f aca="false">E10</f>
        <v>3</v>
      </c>
      <c r="F55" s="16" t="str">
        <f aca="false">IF(F39=0,
"",
IF(F39=1,
ROUND(F10*N10,0)&amp;"x"&amp;AX10&amp;"x"&amp;CH10,
IF(F39=2,
ROUND(F10*N10,0)&amp;"x"&amp;AX10&amp;"x"&amp;CH10&amp;CHAR(10)&amp;ROUND(F10*U10,0)&amp;"x"&amp;BE10&amp;"x"&amp;CO10,
IF(F39=3,
ROUND(F10*N10,0)&amp;"x"&amp;AX10&amp;"x"&amp;CH10&amp;CHAR(10)&amp;ROUND(F10*U10,0)&amp;"x"&amp;BE10&amp;"x"&amp;CO10&amp;CHAR(10)&amp;ROUND(F10*AB10,0)&amp;"x"&amp;BL10&amp;"x"&amp;CV10,
IF(F39=4,
ROUND(F10*N10,0)&amp;"x"&amp;AX10&amp;"x"&amp;CH10&amp;CHAR(10)&amp;ROUND(F10*U10,0)&amp;"x"&amp;BE10&amp;"x"&amp;CO10&amp;CHAR(10)&amp;ROUND(F10*AB10,0)&amp;"x"&amp;BL10&amp;"x"&amp;CV10&amp;CHAR(10)&amp;ROUND(F10*AI10,0)&amp;"x"&amp;BS10&amp;"x"&amp;DC10,
ROUND(F10*N10,0)&amp;"x"&amp;AX10&amp;"x"&amp;CH10&amp;CHAR(10)&amp;ROUND(F10*U10,0)&amp;"x"&amp;BE10&amp;"x"&amp;CO10&amp;CHAR(10)&amp;ROUND(F10*AB10,0)&amp;"x"&amp;BL10&amp;"x"&amp;CV10&amp;CHAR(10)&amp;ROUND(F10*AI10,0)&amp;"x"&amp;BS10&amp;"x"&amp;DC10&amp;CHAR(10)&amp;ROUND(F10*AP10,0)&amp;"x"&amp;BZ10&amp;"x"&amp;DJ10
)))))</f>
        <v>221x9x4</v>
      </c>
      <c r="G55" s="16" t="str">
        <f aca="false">IF(G39=0,
"",
IF(G39=1,
ROUND(G10*O10,0)&amp;"x"&amp;AY10&amp;"x"&amp;CI10,
IF(G39=2,
ROUND(G10*O10,0)&amp;"x"&amp;AY10&amp;"x"&amp;CI10&amp;CHAR(10)&amp;ROUND(G10*V10,0)&amp;"x"&amp;BF10&amp;"x"&amp;CP10,
IF(G39=3,
ROUND(G10*O10,0)&amp;"x"&amp;AY10&amp;"x"&amp;CI10&amp;CHAR(10)&amp;ROUND(G10*V10,0)&amp;"x"&amp;BF10&amp;"x"&amp;CP10&amp;CHAR(10)&amp;ROUND(G10*AC10,0)&amp;"x"&amp;BM10&amp;"x"&amp;CW10,
IF(G39=4,
ROUND(G10*O10,0)&amp;"x"&amp;AY10&amp;"x"&amp;CI10&amp;CHAR(10)&amp;ROUND(G10*V10,0)&amp;"x"&amp;BF10&amp;"x"&amp;CP10&amp;CHAR(10)&amp;ROUND(G10*AC10,0)&amp;"x"&amp;BM10&amp;"x"&amp;CW10&amp;CHAR(10)&amp;ROUND(G10*AJ10,0)&amp;"x"&amp;BT10&amp;"x"&amp;DD10,
ROUND(G10*O10,0)&amp;"x"&amp;AY10&amp;"x"&amp;CI10&amp;CHAR(10)&amp;ROUND(G10*V10,0)&amp;"x"&amp;BF10&amp;"x"&amp;CP10&amp;CHAR(10)&amp;ROUND(G10*AC10,0)&amp;"x"&amp;BM10&amp;"x"&amp;CW10&amp;CHAR(10)&amp;ROUND(G10*AJ10,0)&amp;"x"&amp;BT10&amp;"x"&amp;DD10&amp;CHAR(10)&amp;ROUND(G10*AQ10,0)&amp;"x"&amp;CA10&amp;"x"&amp;DK10
)))))</f>
        <v/>
      </c>
      <c r="H55" s="16" t="str">
        <f aca="false">IF(H39=0,
"",
IF(H39=1,
ROUND(H10*P10,0)&amp;"x"&amp;AZ10&amp;"x"&amp;CJ10,
IF(H39=2,
ROUND(H10*P10,0)&amp;"x"&amp;AZ10&amp;"x"&amp;CJ10&amp;CHAR(10)&amp;ROUND(H10*W10,0)&amp;"x"&amp;BG10&amp;"x"&amp;CQ10,
IF(H39=3,
ROUND(H10*P10,0)&amp;"x"&amp;AZ10&amp;"x"&amp;CJ10&amp;CHAR(10)&amp;ROUND(H10*W10,0)&amp;"x"&amp;BG10&amp;"x"&amp;CQ10&amp;CHAR(10)&amp;ROUND(H10*AD10,0)&amp;"x"&amp;BN10&amp;"x"&amp;CX10,
IF(H39=4,
ROUND(H10*P10,0)&amp;"x"&amp;AZ10&amp;"x"&amp;CJ10&amp;CHAR(10)&amp;ROUND(H10*W10,0)&amp;"x"&amp;BG10&amp;"x"&amp;CQ10&amp;CHAR(10)&amp;ROUND(H10*AD10,0)&amp;"x"&amp;BN10&amp;"x"&amp;CX10&amp;CHAR(10)&amp;ROUND(H10*AK10,0)&amp;"x"&amp;BU10&amp;"x"&amp;DE10,
ROUND(H10*P10,0)&amp;"x"&amp;AZ10&amp;"x"&amp;CJ10&amp;CHAR(10)&amp;ROUND(H10*W10,0)&amp;"x"&amp;BG10&amp;"x"&amp;CQ10&amp;CHAR(10)&amp;ROUND(H10*AD10,0)&amp;"x"&amp;BN10&amp;"x"&amp;CX10&amp;CHAR(10)&amp;ROUND(H10*AK10,0)&amp;"x"&amp;BU10&amp;"x"&amp;DE10&amp;CHAR(10)&amp;ROUND(H10*AR10,0)&amp;"x"&amp;CB10&amp;"x"&amp;DL10
)))))</f>
        <v>236x7x5</v>
      </c>
      <c r="I55" s="16" t="str">
        <f aca="false">IF(I39=0,
"",
IF(I39=1,
ROUND(I10*Q10,0)&amp;"x"&amp;BA10&amp;"x"&amp;CK10,
IF(I39=2,
ROUND(I10*Q10,0)&amp;"x"&amp;BA10&amp;"x"&amp;CK10&amp;CHAR(10)&amp;ROUND(I10*X10,0)&amp;"x"&amp;BH10&amp;"x"&amp;CR10,
IF(I39=3,
ROUND(I10*Q10,0)&amp;"x"&amp;BA10&amp;"x"&amp;CK10&amp;CHAR(10)&amp;ROUND(I10*X10,0)&amp;"x"&amp;BH10&amp;"x"&amp;CR10&amp;CHAR(10)&amp;ROUND(I10*AE10,0)&amp;"x"&amp;BO10&amp;"x"&amp;CY10,
IF(I39=4,
ROUND(I10*Q10,0)&amp;"x"&amp;BA10&amp;"x"&amp;CK10&amp;CHAR(10)&amp;ROUND(I10*X10,0)&amp;"x"&amp;BH10&amp;"x"&amp;CR10&amp;CHAR(10)&amp;ROUND(I10*AE10,0)&amp;"x"&amp;BO10&amp;"x"&amp;CY10&amp;CHAR(10)&amp;ROUND(I10*AL10,0)&amp;"x"&amp;BV10&amp;"x"&amp;DF10,
ROUND(I10*Q10,0)&amp;"x"&amp;BA10&amp;"x"&amp;CK10&amp;CHAR(10)&amp;ROUND(I10*X10,0)&amp;"x"&amp;BH10&amp;"x"&amp;CR10&amp;CHAR(10)&amp;ROUND(I10*AE10,0)&amp;"x"&amp;BO10&amp;"x"&amp;CY10&amp;CHAR(10)&amp;ROUND(I10*AL10,0)&amp;"x"&amp;BV10&amp;"x"&amp;DF10&amp;CHAR(10)&amp;ROUND(I10*AS10,0)&amp;"x"&amp;CC10&amp;"x"&amp;DM10
)))))</f>
        <v/>
      </c>
      <c r="J55" s="16" t="str">
        <f aca="false">IF(J39=0,
"",
IF(J39=1,
ROUND(J10*R10,0)&amp;"x"&amp;BB10&amp;"x"&amp;CL10,
IF(J39=2,
ROUND(J10*R10,0)&amp;"x"&amp;BB10&amp;"x"&amp;CL10&amp;CHAR(10)&amp;ROUND(J10*Y10,0)&amp;"x"&amp;BI10&amp;"x"&amp;CS10,
IF(J39=3,
ROUND(J10*R10,0)&amp;"x"&amp;BB10&amp;"x"&amp;CL10&amp;CHAR(10)&amp;ROUND(J10*Y10,0)&amp;"x"&amp;BI10&amp;"x"&amp;CS10&amp;CHAR(10)&amp;ROUND(J10*AF10,0)&amp;"x"&amp;BP10&amp;"x"&amp;CZ10,
IF(J39=4,
ROUND(J10*R10,0)&amp;"x"&amp;BB10&amp;"x"&amp;CL10&amp;CHAR(10)&amp;ROUND(J10*Y10,0)&amp;"x"&amp;BI10&amp;"x"&amp;CS10&amp;CHAR(10)&amp;ROUND(J10*AF10,0)&amp;"x"&amp;BP10&amp;"x"&amp;CZ10&amp;CHAR(10)&amp;ROUND(J10*AM10,0)&amp;"x"&amp;BW10&amp;"x"&amp;DG10,
ROUND(J10*R10,0)&amp;"x"&amp;BB10&amp;"x"&amp;CL10&amp;CHAR(10)&amp;ROUND(J10*Y10,0)&amp;"x"&amp;BI10&amp;"x"&amp;CS10&amp;CHAR(10)&amp;ROUND(J10*AF10,0)&amp;"x"&amp;BP10&amp;"x"&amp;CZ10&amp;CHAR(10)&amp;ROUND(J10*AM10,0)&amp;"x"&amp;BW10&amp;"x"&amp;DG10&amp;CHAR(10)&amp;ROUND(J10*AT10,0)&amp;"x"&amp;CD10&amp;"x"&amp;DN10
)))))</f>
        <v>252x5x7</v>
      </c>
      <c r="K55" s="16" t="str">
        <f aca="false">IF(K39=0,
"",
IF(K39=1,
ROUND(K10*S10,0)&amp;"x"&amp;BC10&amp;"x"&amp;CM10,
IF(K39=2,
ROUND(K10*S10,0)&amp;"x"&amp;BC10&amp;"x"&amp;CM10&amp;CHAR(10)&amp;ROUND(K10*Z10,0)&amp;"x"&amp;BJ10&amp;"x"&amp;CT10,
IF(K39=3,
ROUND(K10*S10,0)&amp;"x"&amp;BC10&amp;"x"&amp;CM10&amp;CHAR(10)&amp;ROUND(K10*Z10,0)&amp;"x"&amp;BJ10&amp;"x"&amp;CT10&amp;CHAR(10)&amp;ROUND(K10*AG10,0)&amp;"x"&amp;BQ10&amp;"x"&amp;DA10,
IF(K39=4,
ROUND(K10*S10,0)&amp;"x"&amp;BC10&amp;"x"&amp;CM10&amp;CHAR(10)&amp;ROUND(K10*Z10,0)&amp;"x"&amp;BJ10&amp;"x"&amp;CT10&amp;CHAR(10)&amp;ROUND(K10*AG10,0)&amp;"x"&amp;BQ10&amp;"x"&amp;DA10&amp;CHAR(10)&amp;ROUND(K10*AN10,0)&amp;"x"&amp;BX10&amp;"x"&amp;DH10,
ROUND(K10*S10,0)&amp;"x"&amp;BC10&amp;"x"&amp;CM10&amp;CHAR(10)&amp;ROUND(K10*Z10,0)&amp;"x"&amp;BJ10&amp;"x"&amp;CT10&amp;CHAR(10)&amp;ROUND(K10*AG10,0)&amp;"x"&amp;BQ10&amp;"x"&amp;DA10&amp;CHAR(10)&amp;ROUND(K10*AN10,0)&amp;"x"&amp;BX10&amp;"x"&amp;DH10&amp;CHAR(10)&amp;ROUND(K10*AU10,0)&amp;"x"&amp;CE10&amp;"x"&amp;DO10
)))))</f>
        <v>268x3x10</v>
      </c>
      <c r="L55" s="16" t="str">
        <f aca="false">IF(L39=0,
"",
IF(L39=1,
ROUND(L10*T10,0)&amp;"x"&amp;BD10&amp;"x"&amp;CN10,
IF(L39=2,
ROUND(L10*T10,0)&amp;"x"&amp;BD10&amp;"x"&amp;CN10&amp;CHAR(10)&amp;ROUND(L10*AA10,0)&amp;"x"&amp;BK10&amp;"x"&amp;CU10,
IF(L39=3,
ROUND(L10*T10,0)&amp;"x"&amp;BD10&amp;"x"&amp;CN10&amp;CHAR(10)&amp;ROUND(L10*AA10,0)&amp;"x"&amp;BK10&amp;"x"&amp;CU10&amp;CHAR(10)&amp;ROUND(L10*AH10,0)&amp;"x"&amp;BR10&amp;"x"&amp;DB10,
IF(L39=4,
ROUND(L10*T10,0)&amp;"x"&amp;BD10&amp;"x"&amp;CN10&amp;CHAR(10)&amp;ROUND(L10*AA10,0)&amp;"x"&amp;BK10&amp;"x"&amp;CU10&amp;CHAR(10)&amp;ROUND(L10*AH10,0)&amp;"x"&amp;BR10&amp;"x"&amp;DB10&amp;CHAR(10)&amp;ROUND(L10*AO10,0)&amp;"x"&amp;BY10&amp;"x"&amp;DI10,
ROUND(L10*T10,0)&amp;"x"&amp;BD10&amp;"x"&amp;CN10&amp;CHAR(10)&amp;ROUND(L10*AA10,0)&amp;"x"&amp;BK10&amp;"x"&amp;CU10&amp;CHAR(10)&amp;ROUND(L10*AH10,0)&amp;"x"&amp;BR10&amp;"x"&amp;DB10&amp;CHAR(10)&amp;ROUND(L10*AO10,0)&amp;"x"&amp;BY10&amp;"x"&amp;DI10&amp;CHAR(10)&amp;ROUND(L10*AV10,0)&amp;"x"&amp;CF10&amp;"x"&amp;DP10
)))))</f>
        <v/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customFormat="false" ht="15" hidden="false" customHeight="false" outlineLevel="0" collapsed="false">
      <c r="A56" s="1" t="n">
        <f aca="false">A55+7</f>
        <v>43934</v>
      </c>
      <c r="B56" s="1" t="n">
        <f aca="false">A56+6</f>
        <v>43940</v>
      </c>
      <c r="C56" s="14" t="str">
        <f aca="false">TEXT(A56,"MM/DD")&amp;" ~ "&amp;TEXT(B56,"MM/DD")</f>
        <v>04/13 ~ 04/19</v>
      </c>
      <c r="D56" s="15" t="s">
        <v>19</v>
      </c>
      <c r="E56" s="15" t="n">
        <f aca="false">E11</f>
        <v>4</v>
      </c>
      <c r="F56" s="16" t="str">
        <f aca="false">IF(F40=0,
"",
IF(F40=1,
ROUND(F11*N11,0)&amp;"x"&amp;AX11&amp;"x"&amp;CH11,
IF(F40=2,
ROUND(F11*N11,0)&amp;"x"&amp;AX11&amp;"x"&amp;CH11&amp;CHAR(10)&amp;ROUND(F11*U11,0)&amp;"x"&amp;BE11&amp;"x"&amp;CO11,
IF(F40=3,
ROUND(F11*N11,0)&amp;"x"&amp;AX11&amp;"x"&amp;CH11&amp;CHAR(10)&amp;ROUND(F11*U11,0)&amp;"x"&amp;BE11&amp;"x"&amp;CO11&amp;CHAR(10)&amp;ROUND(F11*AB11,0)&amp;"x"&amp;BL11&amp;"x"&amp;CV11,
IF(F40=4,
ROUND(F11*N11,0)&amp;"x"&amp;AX11&amp;"x"&amp;CH11&amp;CHAR(10)&amp;ROUND(F11*U11,0)&amp;"x"&amp;BE11&amp;"x"&amp;CO11&amp;CHAR(10)&amp;ROUND(F11*AB11,0)&amp;"x"&amp;BL11&amp;"x"&amp;CV11&amp;CHAR(10)&amp;ROUND(F11*AI11,0)&amp;"x"&amp;BS11&amp;"x"&amp;DC11,
ROUND(F11*N11,0)&amp;"x"&amp;AX11&amp;"x"&amp;CH11&amp;CHAR(10)&amp;ROUND(F11*U11,0)&amp;"x"&amp;BE11&amp;"x"&amp;CO11&amp;CHAR(10)&amp;ROUND(F11*AB11,0)&amp;"x"&amp;BL11&amp;"x"&amp;CV11&amp;CHAR(10)&amp;ROUND(F11*AI11,0)&amp;"x"&amp;BS11&amp;"x"&amp;DC11&amp;CHAR(10)&amp;ROUND(F11*AP11,0)&amp;"x"&amp;BZ11&amp;"x"&amp;DJ11
)))))</f>
        <v>221x9x4</v>
      </c>
      <c r="G56" s="16" t="str">
        <f aca="false">IF(G40=0,
"",
IF(G40=1,
ROUND(G11*O11,0)&amp;"x"&amp;AY11&amp;"x"&amp;CI11,
IF(G40=2,
ROUND(G11*O11,0)&amp;"x"&amp;AY11&amp;"x"&amp;CI11&amp;CHAR(10)&amp;ROUND(G11*V11,0)&amp;"x"&amp;BF11&amp;"x"&amp;CP11,
IF(G40=3,
ROUND(G11*O11,0)&amp;"x"&amp;AY11&amp;"x"&amp;CI11&amp;CHAR(10)&amp;ROUND(G11*V11,0)&amp;"x"&amp;BF11&amp;"x"&amp;CP11&amp;CHAR(10)&amp;ROUND(G11*AC11,0)&amp;"x"&amp;BM11&amp;"x"&amp;CW11,
IF(G40=4,
ROUND(G11*O11,0)&amp;"x"&amp;AY11&amp;"x"&amp;CI11&amp;CHAR(10)&amp;ROUND(G11*V11,0)&amp;"x"&amp;BF11&amp;"x"&amp;CP11&amp;CHAR(10)&amp;ROUND(G11*AC11,0)&amp;"x"&amp;BM11&amp;"x"&amp;CW11&amp;CHAR(10)&amp;ROUND(G11*AJ11,0)&amp;"x"&amp;BT11&amp;"x"&amp;DD11,
ROUND(G11*O11,0)&amp;"x"&amp;AY11&amp;"x"&amp;CI11&amp;CHAR(10)&amp;ROUND(G11*V11,0)&amp;"x"&amp;BF11&amp;"x"&amp;CP11&amp;CHAR(10)&amp;ROUND(G11*AC11,0)&amp;"x"&amp;BM11&amp;"x"&amp;CW11&amp;CHAR(10)&amp;ROUND(G11*AJ11,0)&amp;"x"&amp;BT11&amp;"x"&amp;DD11&amp;CHAR(10)&amp;ROUND(G11*AQ11,0)&amp;"x"&amp;CA11&amp;"x"&amp;DK11
)))))</f>
        <v/>
      </c>
      <c r="H56" s="16" t="str">
        <f aca="false">IF(H40=0,
"",
IF(H40=1,
ROUND(H11*P11,0)&amp;"x"&amp;AZ11&amp;"x"&amp;CJ11,
IF(H40=2,
ROUND(H11*P11,0)&amp;"x"&amp;AZ11&amp;"x"&amp;CJ11&amp;CHAR(10)&amp;ROUND(H11*W11,0)&amp;"x"&amp;BG11&amp;"x"&amp;CQ11,
IF(H40=3,
ROUND(H11*P11,0)&amp;"x"&amp;AZ11&amp;"x"&amp;CJ11&amp;CHAR(10)&amp;ROUND(H11*W11,0)&amp;"x"&amp;BG11&amp;"x"&amp;CQ11&amp;CHAR(10)&amp;ROUND(H11*AD11,0)&amp;"x"&amp;BN11&amp;"x"&amp;CX11,
IF(H40=4,
ROUND(H11*P11,0)&amp;"x"&amp;AZ11&amp;"x"&amp;CJ11&amp;CHAR(10)&amp;ROUND(H11*W11,0)&amp;"x"&amp;BG11&amp;"x"&amp;CQ11&amp;CHAR(10)&amp;ROUND(H11*AD11,0)&amp;"x"&amp;BN11&amp;"x"&amp;CX11&amp;CHAR(10)&amp;ROUND(H11*AK11,0)&amp;"x"&amp;BU11&amp;"x"&amp;DE11,
ROUND(H11*P11,0)&amp;"x"&amp;AZ11&amp;"x"&amp;CJ11&amp;CHAR(10)&amp;ROUND(H11*W11,0)&amp;"x"&amp;BG11&amp;"x"&amp;CQ11&amp;CHAR(10)&amp;ROUND(H11*AD11,0)&amp;"x"&amp;BN11&amp;"x"&amp;CX11&amp;CHAR(10)&amp;ROUND(H11*AK11,0)&amp;"x"&amp;BU11&amp;"x"&amp;DE11&amp;CHAR(10)&amp;ROUND(H11*AR11,0)&amp;"x"&amp;CB11&amp;"x"&amp;DL11
)))))</f>
        <v>236x7x5</v>
      </c>
      <c r="I56" s="16" t="str">
        <f aca="false">IF(I40=0,
"",
IF(I40=1,
ROUND(I11*Q11,0)&amp;"x"&amp;BA11&amp;"x"&amp;CK11,
IF(I40=2,
ROUND(I11*Q11,0)&amp;"x"&amp;BA11&amp;"x"&amp;CK11&amp;CHAR(10)&amp;ROUND(I11*X11,0)&amp;"x"&amp;BH11&amp;"x"&amp;CR11,
IF(I40=3,
ROUND(I11*Q11,0)&amp;"x"&amp;BA11&amp;"x"&amp;CK11&amp;CHAR(10)&amp;ROUND(I11*X11,0)&amp;"x"&amp;BH11&amp;"x"&amp;CR11&amp;CHAR(10)&amp;ROUND(I11*AE11,0)&amp;"x"&amp;BO11&amp;"x"&amp;CY11,
IF(I40=4,
ROUND(I11*Q11,0)&amp;"x"&amp;BA11&amp;"x"&amp;CK11&amp;CHAR(10)&amp;ROUND(I11*X11,0)&amp;"x"&amp;BH11&amp;"x"&amp;CR11&amp;CHAR(10)&amp;ROUND(I11*AE11,0)&amp;"x"&amp;BO11&amp;"x"&amp;CY11&amp;CHAR(10)&amp;ROUND(I11*AL11,0)&amp;"x"&amp;BV11&amp;"x"&amp;DF11,
ROUND(I11*Q11,0)&amp;"x"&amp;BA11&amp;"x"&amp;CK11&amp;CHAR(10)&amp;ROUND(I11*X11,0)&amp;"x"&amp;BH11&amp;"x"&amp;CR11&amp;CHAR(10)&amp;ROUND(I11*AE11,0)&amp;"x"&amp;BO11&amp;"x"&amp;CY11&amp;CHAR(10)&amp;ROUND(I11*AL11,0)&amp;"x"&amp;BV11&amp;"x"&amp;DF11&amp;CHAR(10)&amp;ROUND(I11*AS11,0)&amp;"x"&amp;CC11&amp;"x"&amp;DM11
)))))</f>
        <v/>
      </c>
      <c r="J56" s="16" t="str">
        <f aca="false">IF(J40=0,
"",
IF(J40=1,
ROUND(J11*R11,0)&amp;"x"&amp;BB11&amp;"x"&amp;CL11,
IF(J40=2,
ROUND(J11*R11,0)&amp;"x"&amp;BB11&amp;"x"&amp;CL11&amp;CHAR(10)&amp;ROUND(J11*Y11,0)&amp;"x"&amp;BI11&amp;"x"&amp;CS11,
IF(J40=3,
ROUND(J11*R11,0)&amp;"x"&amp;BB11&amp;"x"&amp;CL11&amp;CHAR(10)&amp;ROUND(J11*Y11,0)&amp;"x"&amp;BI11&amp;"x"&amp;CS11&amp;CHAR(10)&amp;ROUND(J11*AF11,0)&amp;"x"&amp;BP11&amp;"x"&amp;CZ11,
IF(J40=4,
ROUND(J11*R11,0)&amp;"x"&amp;BB11&amp;"x"&amp;CL11&amp;CHAR(10)&amp;ROUND(J11*Y11,0)&amp;"x"&amp;BI11&amp;"x"&amp;CS11&amp;CHAR(10)&amp;ROUND(J11*AF11,0)&amp;"x"&amp;BP11&amp;"x"&amp;CZ11&amp;CHAR(10)&amp;ROUND(J11*AM11,0)&amp;"x"&amp;BW11&amp;"x"&amp;DG11,
ROUND(J11*R11,0)&amp;"x"&amp;BB11&amp;"x"&amp;CL11&amp;CHAR(10)&amp;ROUND(J11*Y11,0)&amp;"x"&amp;BI11&amp;"x"&amp;CS11&amp;CHAR(10)&amp;ROUND(J11*AF11,0)&amp;"x"&amp;BP11&amp;"x"&amp;CZ11&amp;CHAR(10)&amp;ROUND(J11*AM11,0)&amp;"x"&amp;BW11&amp;"x"&amp;DG11&amp;CHAR(10)&amp;ROUND(J11*AT11,0)&amp;"x"&amp;CD11&amp;"x"&amp;DN11
)))))</f>
        <v>252x5x7</v>
      </c>
      <c r="K56" s="16" t="str">
        <f aca="false">IF(K40=0,
"",
IF(K40=1,
ROUND(K11*S11,0)&amp;"x"&amp;BC11&amp;"x"&amp;CM11,
IF(K40=2,
ROUND(K11*S11,0)&amp;"x"&amp;BC11&amp;"x"&amp;CM11&amp;CHAR(10)&amp;ROUND(K11*Z11,0)&amp;"x"&amp;BJ11&amp;"x"&amp;CT11,
IF(K40=3,
ROUND(K11*S11,0)&amp;"x"&amp;BC11&amp;"x"&amp;CM11&amp;CHAR(10)&amp;ROUND(K11*Z11,0)&amp;"x"&amp;BJ11&amp;"x"&amp;CT11&amp;CHAR(10)&amp;ROUND(K11*AG11,0)&amp;"x"&amp;BQ11&amp;"x"&amp;DA11,
IF(K40=4,
ROUND(K11*S11,0)&amp;"x"&amp;BC11&amp;"x"&amp;CM11&amp;CHAR(10)&amp;ROUND(K11*Z11,0)&amp;"x"&amp;BJ11&amp;"x"&amp;CT11&amp;CHAR(10)&amp;ROUND(K11*AG11,0)&amp;"x"&amp;BQ11&amp;"x"&amp;DA11&amp;CHAR(10)&amp;ROUND(K11*AN11,0)&amp;"x"&amp;BX11&amp;"x"&amp;DH11,
ROUND(K11*S11,0)&amp;"x"&amp;BC11&amp;"x"&amp;CM11&amp;CHAR(10)&amp;ROUND(K11*Z11,0)&amp;"x"&amp;BJ11&amp;"x"&amp;CT11&amp;CHAR(10)&amp;ROUND(K11*AG11,0)&amp;"x"&amp;BQ11&amp;"x"&amp;DA11&amp;CHAR(10)&amp;ROUND(K11*AN11,0)&amp;"x"&amp;BX11&amp;"x"&amp;DH11&amp;CHAR(10)&amp;ROUND(K11*AU11,0)&amp;"x"&amp;CE11&amp;"x"&amp;DO11
)))))</f>
        <v>268x3x10</v>
      </c>
      <c r="L56" s="16" t="str">
        <f aca="false">IF(L40=0,
"",
IF(L40=1,
ROUND(L11*T11,0)&amp;"x"&amp;BD11&amp;"x"&amp;CN11,
IF(L40=2,
ROUND(L11*T11,0)&amp;"x"&amp;BD11&amp;"x"&amp;CN11&amp;CHAR(10)&amp;ROUND(L11*AA11,0)&amp;"x"&amp;BK11&amp;"x"&amp;CU11,
IF(L40=3,
ROUND(L11*T11,0)&amp;"x"&amp;BD11&amp;"x"&amp;CN11&amp;CHAR(10)&amp;ROUND(L11*AA11,0)&amp;"x"&amp;BK11&amp;"x"&amp;CU11&amp;CHAR(10)&amp;ROUND(L11*AH11,0)&amp;"x"&amp;BR11&amp;"x"&amp;DB11,
IF(L40=4,
ROUND(L11*T11,0)&amp;"x"&amp;BD11&amp;"x"&amp;CN11&amp;CHAR(10)&amp;ROUND(L11*AA11,0)&amp;"x"&amp;BK11&amp;"x"&amp;CU11&amp;CHAR(10)&amp;ROUND(L11*AH11,0)&amp;"x"&amp;BR11&amp;"x"&amp;DB11&amp;CHAR(10)&amp;ROUND(L11*AO11,0)&amp;"x"&amp;BY11&amp;"x"&amp;DI11,
ROUND(L11*T11,0)&amp;"x"&amp;BD11&amp;"x"&amp;CN11&amp;CHAR(10)&amp;ROUND(L11*AA11,0)&amp;"x"&amp;BK11&amp;"x"&amp;CU11&amp;CHAR(10)&amp;ROUND(L11*AH11,0)&amp;"x"&amp;BR11&amp;"x"&amp;DB11&amp;CHAR(10)&amp;ROUND(L11*AO11,0)&amp;"x"&amp;BY11&amp;"x"&amp;DI11&amp;CHAR(10)&amp;ROUND(L11*AV11,0)&amp;"x"&amp;CF11&amp;"x"&amp;DP11
)))))</f>
        <v/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customFormat="false" ht="15" hidden="false" customHeight="false" outlineLevel="0" collapsed="false">
      <c r="A57" s="1" t="n">
        <f aca="false">A56+7</f>
        <v>43941</v>
      </c>
      <c r="B57" s="1" t="n">
        <f aca="false">A57+6</f>
        <v>43947</v>
      </c>
      <c r="C57" s="14" t="str">
        <f aca="false">TEXT(A57,"MM/DD")&amp;" ~ "&amp;TEXT(B57,"MM/DD")</f>
        <v>04/20 ~ 04/26</v>
      </c>
      <c r="D57" s="15" t="s">
        <v>19</v>
      </c>
      <c r="E57" s="15" t="n">
        <f aca="false">E12</f>
        <v>5</v>
      </c>
      <c r="F57" s="16" t="str">
        <f aca="false">IF(F41=0,
"",
IF(F41=1,
ROUND(F12*N12,0)&amp;"x"&amp;AX12&amp;"x"&amp;CH12,
IF(F41=2,
ROUND(F12*N12,0)&amp;"x"&amp;AX12&amp;"x"&amp;CH12&amp;CHAR(10)&amp;ROUND(F12*U12,0)&amp;"x"&amp;BE12&amp;"x"&amp;CO12,
IF(F41=3,
ROUND(F12*N12,0)&amp;"x"&amp;AX12&amp;"x"&amp;CH12&amp;CHAR(10)&amp;ROUND(F12*U12,0)&amp;"x"&amp;BE12&amp;"x"&amp;CO12&amp;CHAR(10)&amp;ROUND(F12*AB12,0)&amp;"x"&amp;BL12&amp;"x"&amp;CV12,
IF(F41=4,
ROUND(F12*N12,0)&amp;"x"&amp;AX12&amp;"x"&amp;CH12&amp;CHAR(10)&amp;ROUND(F12*U12,0)&amp;"x"&amp;BE12&amp;"x"&amp;CO12&amp;CHAR(10)&amp;ROUND(F12*AB12,0)&amp;"x"&amp;BL12&amp;"x"&amp;CV12&amp;CHAR(10)&amp;ROUND(F12*AI12,0)&amp;"x"&amp;BS12&amp;"x"&amp;DC12,
ROUND(F12*N12,0)&amp;"x"&amp;AX12&amp;"x"&amp;CH12&amp;CHAR(10)&amp;ROUND(F12*U12,0)&amp;"x"&amp;BE12&amp;"x"&amp;CO12&amp;CHAR(10)&amp;ROUND(F12*AB12,0)&amp;"x"&amp;BL12&amp;"x"&amp;CV12&amp;CHAR(10)&amp;ROUND(F12*AI12,0)&amp;"x"&amp;BS12&amp;"x"&amp;DC12&amp;CHAR(10)&amp;ROUND(F12*AP12,0)&amp;"x"&amp;BZ12&amp;"x"&amp;DJ12
)))))</f>
        <v>221x9x4</v>
      </c>
      <c r="G57" s="16" t="str">
        <f aca="false">IF(G41=0,
"",
IF(G41=1,
ROUND(G12*O12,0)&amp;"x"&amp;AY12&amp;"x"&amp;CI12,
IF(G41=2,
ROUND(G12*O12,0)&amp;"x"&amp;AY12&amp;"x"&amp;CI12&amp;CHAR(10)&amp;ROUND(G12*V12,0)&amp;"x"&amp;BF12&amp;"x"&amp;CP12,
IF(G41=3,
ROUND(G12*O12,0)&amp;"x"&amp;AY12&amp;"x"&amp;CI12&amp;CHAR(10)&amp;ROUND(G12*V12,0)&amp;"x"&amp;BF12&amp;"x"&amp;CP12&amp;CHAR(10)&amp;ROUND(G12*AC12,0)&amp;"x"&amp;BM12&amp;"x"&amp;CW12,
IF(G41=4,
ROUND(G12*O12,0)&amp;"x"&amp;AY12&amp;"x"&amp;CI12&amp;CHAR(10)&amp;ROUND(G12*V12,0)&amp;"x"&amp;BF12&amp;"x"&amp;CP12&amp;CHAR(10)&amp;ROUND(G12*AC12,0)&amp;"x"&amp;BM12&amp;"x"&amp;CW12&amp;CHAR(10)&amp;ROUND(G12*AJ12,0)&amp;"x"&amp;BT12&amp;"x"&amp;DD12,
ROUND(G12*O12,0)&amp;"x"&amp;AY12&amp;"x"&amp;CI12&amp;CHAR(10)&amp;ROUND(G12*V12,0)&amp;"x"&amp;BF12&amp;"x"&amp;CP12&amp;CHAR(10)&amp;ROUND(G12*AC12,0)&amp;"x"&amp;BM12&amp;"x"&amp;CW12&amp;CHAR(10)&amp;ROUND(G12*AJ12,0)&amp;"x"&amp;BT12&amp;"x"&amp;DD12&amp;CHAR(10)&amp;ROUND(G12*AQ12,0)&amp;"x"&amp;CA12&amp;"x"&amp;DK12
)))))</f>
        <v/>
      </c>
      <c r="H57" s="16" t="str">
        <f aca="false">IF(H41=0,
"",
IF(H41=1,
ROUND(H12*P12,0)&amp;"x"&amp;AZ12&amp;"x"&amp;CJ12,
IF(H41=2,
ROUND(H12*P12,0)&amp;"x"&amp;AZ12&amp;"x"&amp;CJ12&amp;CHAR(10)&amp;ROUND(H12*W12,0)&amp;"x"&amp;BG12&amp;"x"&amp;CQ12,
IF(H41=3,
ROUND(H12*P12,0)&amp;"x"&amp;AZ12&amp;"x"&amp;CJ12&amp;CHAR(10)&amp;ROUND(H12*W12,0)&amp;"x"&amp;BG12&amp;"x"&amp;CQ12&amp;CHAR(10)&amp;ROUND(H12*AD12,0)&amp;"x"&amp;BN12&amp;"x"&amp;CX12,
IF(H41=4,
ROUND(H12*P12,0)&amp;"x"&amp;AZ12&amp;"x"&amp;CJ12&amp;CHAR(10)&amp;ROUND(H12*W12,0)&amp;"x"&amp;BG12&amp;"x"&amp;CQ12&amp;CHAR(10)&amp;ROUND(H12*AD12,0)&amp;"x"&amp;BN12&amp;"x"&amp;CX12&amp;CHAR(10)&amp;ROUND(H12*AK12,0)&amp;"x"&amp;BU12&amp;"x"&amp;DE12,
ROUND(H12*P12,0)&amp;"x"&amp;AZ12&amp;"x"&amp;CJ12&amp;CHAR(10)&amp;ROUND(H12*W12,0)&amp;"x"&amp;BG12&amp;"x"&amp;CQ12&amp;CHAR(10)&amp;ROUND(H12*AD12,0)&amp;"x"&amp;BN12&amp;"x"&amp;CX12&amp;CHAR(10)&amp;ROUND(H12*AK12,0)&amp;"x"&amp;BU12&amp;"x"&amp;DE12&amp;CHAR(10)&amp;ROUND(H12*AR12,0)&amp;"x"&amp;CB12&amp;"x"&amp;DL12
)))))</f>
        <v>236x7x5</v>
      </c>
      <c r="I57" s="16" t="str">
        <f aca="false">IF(I41=0,
"",
IF(I41=1,
ROUND(I12*Q12,0)&amp;"x"&amp;BA12&amp;"x"&amp;CK12,
IF(I41=2,
ROUND(I12*Q12,0)&amp;"x"&amp;BA12&amp;"x"&amp;CK12&amp;CHAR(10)&amp;ROUND(I12*X12,0)&amp;"x"&amp;BH12&amp;"x"&amp;CR12,
IF(I41=3,
ROUND(I12*Q12,0)&amp;"x"&amp;BA12&amp;"x"&amp;CK12&amp;CHAR(10)&amp;ROUND(I12*X12,0)&amp;"x"&amp;BH12&amp;"x"&amp;CR12&amp;CHAR(10)&amp;ROUND(I12*AE12,0)&amp;"x"&amp;BO12&amp;"x"&amp;CY12,
IF(I41=4,
ROUND(I12*Q12,0)&amp;"x"&amp;BA12&amp;"x"&amp;CK12&amp;CHAR(10)&amp;ROUND(I12*X12,0)&amp;"x"&amp;BH12&amp;"x"&amp;CR12&amp;CHAR(10)&amp;ROUND(I12*AE12,0)&amp;"x"&amp;BO12&amp;"x"&amp;CY12&amp;CHAR(10)&amp;ROUND(I12*AL12,0)&amp;"x"&amp;BV12&amp;"x"&amp;DF12,
ROUND(I12*Q12,0)&amp;"x"&amp;BA12&amp;"x"&amp;CK12&amp;CHAR(10)&amp;ROUND(I12*X12,0)&amp;"x"&amp;BH12&amp;"x"&amp;CR12&amp;CHAR(10)&amp;ROUND(I12*AE12,0)&amp;"x"&amp;BO12&amp;"x"&amp;CY12&amp;CHAR(10)&amp;ROUND(I12*AL12,0)&amp;"x"&amp;BV12&amp;"x"&amp;DF12&amp;CHAR(10)&amp;ROUND(I12*AS12,0)&amp;"x"&amp;CC12&amp;"x"&amp;DM12
)))))</f>
        <v/>
      </c>
      <c r="J57" s="16" t="str">
        <f aca="false">IF(J41=0,
"",
IF(J41=1,
ROUND(J12*R12,0)&amp;"x"&amp;BB12&amp;"x"&amp;CL12,
IF(J41=2,
ROUND(J12*R12,0)&amp;"x"&amp;BB12&amp;"x"&amp;CL12&amp;CHAR(10)&amp;ROUND(J12*Y12,0)&amp;"x"&amp;BI12&amp;"x"&amp;CS12,
IF(J41=3,
ROUND(J12*R12,0)&amp;"x"&amp;BB12&amp;"x"&amp;CL12&amp;CHAR(10)&amp;ROUND(J12*Y12,0)&amp;"x"&amp;BI12&amp;"x"&amp;CS12&amp;CHAR(10)&amp;ROUND(J12*AF12,0)&amp;"x"&amp;BP12&amp;"x"&amp;CZ12,
IF(J41=4,
ROUND(J12*R12,0)&amp;"x"&amp;BB12&amp;"x"&amp;CL12&amp;CHAR(10)&amp;ROUND(J12*Y12,0)&amp;"x"&amp;BI12&amp;"x"&amp;CS12&amp;CHAR(10)&amp;ROUND(J12*AF12,0)&amp;"x"&amp;BP12&amp;"x"&amp;CZ12&amp;CHAR(10)&amp;ROUND(J12*AM12,0)&amp;"x"&amp;BW12&amp;"x"&amp;DG12,
ROUND(J12*R12,0)&amp;"x"&amp;BB12&amp;"x"&amp;CL12&amp;CHAR(10)&amp;ROUND(J12*Y12,0)&amp;"x"&amp;BI12&amp;"x"&amp;CS12&amp;CHAR(10)&amp;ROUND(J12*AF12,0)&amp;"x"&amp;BP12&amp;"x"&amp;CZ12&amp;CHAR(10)&amp;ROUND(J12*AM12,0)&amp;"x"&amp;BW12&amp;"x"&amp;DG12&amp;CHAR(10)&amp;ROUND(J12*AT12,0)&amp;"x"&amp;CD12&amp;"x"&amp;DN12
)))))</f>
        <v>252x5x7</v>
      </c>
      <c r="K57" s="16" t="str">
        <f aca="false">IF(K41=0,
"",
IF(K41=1,
ROUND(K12*S12,0)&amp;"x"&amp;BC12&amp;"x"&amp;CM12,
IF(K41=2,
ROUND(K12*S12,0)&amp;"x"&amp;BC12&amp;"x"&amp;CM12&amp;CHAR(10)&amp;ROUND(K12*Z12,0)&amp;"x"&amp;BJ12&amp;"x"&amp;CT12,
IF(K41=3,
ROUND(K12*S12,0)&amp;"x"&amp;BC12&amp;"x"&amp;CM12&amp;CHAR(10)&amp;ROUND(K12*Z12,0)&amp;"x"&amp;BJ12&amp;"x"&amp;CT12&amp;CHAR(10)&amp;ROUND(K12*AG12,0)&amp;"x"&amp;BQ12&amp;"x"&amp;DA12,
IF(K41=4,
ROUND(K12*S12,0)&amp;"x"&amp;BC12&amp;"x"&amp;CM12&amp;CHAR(10)&amp;ROUND(K12*Z12,0)&amp;"x"&amp;BJ12&amp;"x"&amp;CT12&amp;CHAR(10)&amp;ROUND(K12*AG12,0)&amp;"x"&amp;BQ12&amp;"x"&amp;DA12&amp;CHAR(10)&amp;ROUND(K12*AN12,0)&amp;"x"&amp;BX12&amp;"x"&amp;DH12,
ROUND(K12*S12,0)&amp;"x"&amp;BC12&amp;"x"&amp;CM12&amp;CHAR(10)&amp;ROUND(K12*Z12,0)&amp;"x"&amp;BJ12&amp;"x"&amp;CT12&amp;CHAR(10)&amp;ROUND(K12*AG12,0)&amp;"x"&amp;BQ12&amp;"x"&amp;DA12&amp;CHAR(10)&amp;ROUND(K12*AN12,0)&amp;"x"&amp;BX12&amp;"x"&amp;DH12&amp;CHAR(10)&amp;ROUND(K12*AU12,0)&amp;"x"&amp;CE12&amp;"x"&amp;DO12
)))))</f>
        <v>268x3x10</v>
      </c>
      <c r="L57" s="16" t="str">
        <f aca="false">IF(L41=0,
"",
IF(L41=1,
ROUND(L12*T12,0)&amp;"x"&amp;BD12&amp;"x"&amp;CN12,
IF(L41=2,
ROUND(L12*T12,0)&amp;"x"&amp;BD12&amp;"x"&amp;CN12&amp;CHAR(10)&amp;ROUND(L12*AA12,0)&amp;"x"&amp;BK12&amp;"x"&amp;CU12,
IF(L41=3,
ROUND(L12*T12,0)&amp;"x"&amp;BD12&amp;"x"&amp;CN12&amp;CHAR(10)&amp;ROUND(L12*AA12,0)&amp;"x"&amp;BK12&amp;"x"&amp;CU12&amp;CHAR(10)&amp;ROUND(L12*AH12,0)&amp;"x"&amp;BR12&amp;"x"&amp;DB12,
IF(L41=4,
ROUND(L12*T12,0)&amp;"x"&amp;BD12&amp;"x"&amp;CN12&amp;CHAR(10)&amp;ROUND(L12*AA12,0)&amp;"x"&amp;BK12&amp;"x"&amp;CU12&amp;CHAR(10)&amp;ROUND(L12*AH12,0)&amp;"x"&amp;BR12&amp;"x"&amp;DB12&amp;CHAR(10)&amp;ROUND(L12*AO12,0)&amp;"x"&amp;BY12&amp;"x"&amp;DI12,
ROUND(L12*T12,0)&amp;"x"&amp;BD12&amp;"x"&amp;CN12&amp;CHAR(10)&amp;ROUND(L12*AA12,0)&amp;"x"&amp;BK12&amp;"x"&amp;CU12&amp;CHAR(10)&amp;ROUND(L12*AH12,0)&amp;"x"&amp;BR12&amp;"x"&amp;DB12&amp;CHAR(10)&amp;ROUND(L12*AO12,0)&amp;"x"&amp;BY12&amp;"x"&amp;DI12&amp;CHAR(10)&amp;ROUND(L12*AV12,0)&amp;"x"&amp;CF12&amp;"x"&amp;DP12
)))))</f>
        <v/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customFormat="false" ht="15" hidden="false" customHeight="false" outlineLevel="0" collapsed="false">
      <c r="A58" s="1" t="n">
        <f aca="false">A57+7</f>
        <v>43948</v>
      </c>
      <c r="B58" s="1" t="n">
        <f aca="false">A58+6</f>
        <v>43954</v>
      </c>
      <c r="C58" s="14" t="str">
        <f aca="false">TEXT(A58,"MM/DD")&amp;" ~ "&amp;TEXT(B58,"MM/DD")</f>
        <v>04/27 ~ 05/03</v>
      </c>
      <c r="D58" s="15" t="s">
        <v>19</v>
      </c>
      <c r="E58" s="15" t="n">
        <f aca="false">E13</f>
        <v>6</v>
      </c>
      <c r="F58" s="17" t="s">
        <v>28</v>
      </c>
      <c r="G58" s="16" t="str">
        <f aca="false">IF(G42=0,
"",
IF(G42=1,
ROUND(G13*O13,0)&amp;"x"&amp;AY13&amp;"x"&amp;CI13,
IF(G42=2,
ROUND(G13*O13,0)&amp;"x"&amp;AY13&amp;"x"&amp;CI13&amp;CHAR(10)&amp;ROUND(G13*V13,0)&amp;"x"&amp;BF13&amp;"x"&amp;CP13,
IF(G42=3,
ROUND(G13*O13,0)&amp;"x"&amp;AY13&amp;"x"&amp;CI13&amp;CHAR(10)&amp;ROUND(G13*V13,0)&amp;"x"&amp;BF13&amp;"x"&amp;CP13&amp;CHAR(10)&amp;ROUND(G13*AC13,0)&amp;"x"&amp;BM13&amp;"x"&amp;CW13,
IF(G42=4,
ROUND(G13*O13,0)&amp;"x"&amp;AY13&amp;"x"&amp;CI13&amp;CHAR(10)&amp;ROUND(G13*V13,0)&amp;"x"&amp;BF13&amp;"x"&amp;CP13&amp;CHAR(10)&amp;ROUND(G13*AC13,0)&amp;"x"&amp;BM13&amp;"x"&amp;CW13&amp;CHAR(10)&amp;ROUND(G13*AJ13,0)&amp;"x"&amp;BT13&amp;"x"&amp;DD13,
ROUND(G13*O13,0)&amp;"x"&amp;AY13&amp;"x"&amp;CI13&amp;CHAR(10)&amp;ROUND(G13*V13,0)&amp;"x"&amp;BF13&amp;"x"&amp;CP13&amp;CHAR(10)&amp;ROUND(G13*AC13,0)&amp;"x"&amp;BM13&amp;"x"&amp;CW13&amp;CHAR(10)&amp;ROUND(G13*AJ13,0)&amp;"x"&amp;BT13&amp;"x"&amp;DD13&amp;CHAR(10)&amp;ROUND(G13*AQ13,0)&amp;"x"&amp;CA13&amp;"x"&amp;DK13
)))))</f>
        <v/>
      </c>
      <c r="H58" s="17" t="s">
        <v>28</v>
      </c>
      <c r="I58" s="16" t="str">
        <f aca="false">IF(I42=0,
"",
IF(I42=1,
ROUND(I13*Q13,0)&amp;"x"&amp;BA13&amp;"x"&amp;CK13,
IF(I42=2,
ROUND(I13*Q13,0)&amp;"x"&amp;BA13&amp;"x"&amp;CK13&amp;CHAR(10)&amp;ROUND(I13*X13,0)&amp;"x"&amp;BH13&amp;"x"&amp;CR13,
IF(I42=3,
ROUND(I13*Q13,0)&amp;"x"&amp;BA13&amp;"x"&amp;CK13&amp;CHAR(10)&amp;ROUND(I13*X13,0)&amp;"x"&amp;BH13&amp;"x"&amp;CR13&amp;CHAR(10)&amp;ROUND(I13*AE13,0)&amp;"x"&amp;BO13&amp;"x"&amp;CY13,
IF(I42=4,
ROUND(I13*Q13,0)&amp;"x"&amp;BA13&amp;"x"&amp;CK13&amp;CHAR(10)&amp;ROUND(I13*X13,0)&amp;"x"&amp;BH13&amp;"x"&amp;CR13&amp;CHAR(10)&amp;ROUND(I13*AE13,0)&amp;"x"&amp;BO13&amp;"x"&amp;CY13&amp;CHAR(10)&amp;ROUND(I13*AL13,0)&amp;"x"&amp;BV13&amp;"x"&amp;DF13,
ROUND(I13*Q13,0)&amp;"x"&amp;BA13&amp;"x"&amp;CK13&amp;CHAR(10)&amp;ROUND(I13*X13,0)&amp;"x"&amp;BH13&amp;"x"&amp;CR13&amp;CHAR(10)&amp;ROUND(I13*AE13,0)&amp;"x"&amp;BO13&amp;"x"&amp;CY13&amp;CHAR(10)&amp;ROUND(I13*AL13,0)&amp;"x"&amp;BV13&amp;"x"&amp;DF13&amp;CHAR(10)&amp;ROUND(I13*AS13,0)&amp;"x"&amp;CC13&amp;"x"&amp;DM13
)))))</f>
        <v/>
      </c>
      <c r="J58" s="18" t="s">
        <v>29</v>
      </c>
      <c r="K58" s="16" t="str">
        <f aca="false">IF(K42=0,
"",
IF(K42=1,
ROUND(K13*S13,0)&amp;"x"&amp;BC13&amp;"x"&amp;CM13,
IF(K42=2,
ROUND(K13*S13,0)&amp;"x"&amp;BC13&amp;"x"&amp;CM13&amp;CHAR(10)&amp;ROUND(K13*Z13,0)&amp;"x"&amp;BJ13&amp;"x"&amp;CT13,
IF(K42=3,
ROUND(K13*S13,0)&amp;"x"&amp;BC13&amp;"x"&amp;CM13&amp;CHAR(10)&amp;ROUND(K13*Z13,0)&amp;"x"&amp;BJ13&amp;"x"&amp;CT13&amp;CHAR(10)&amp;ROUND(K13*AG13,0)&amp;"x"&amp;BQ13&amp;"x"&amp;DA13,
IF(K42=4,
ROUND(K13*S13,0)&amp;"x"&amp;BC13&amp;"x"&amp;CM13&amp;CHAR(10)&amp;ROUND(K13*Z13,0)&amp;"x"&amp;BJ13&amp;"x"&amp;CT13&amp;CHAR(10)&amp;ROUND(K13*AG13,0)&amp;"x"&amp;BQ13&amp;"x"&amp;DA13&amp;CHAR(10)&amp;ROUND(K13*AN13,0)&amp;"x"&amp;BX13&amp;"x"&amp;DH13,
ROUND(K13*S13,0)&amp;"x"&amp;BC13&amp;"x"&amp;CM13&amp;CHAR(10)&amp;ROUND(K13*Z13,0)&amp;"x"&amp;BJ13&amp;"x"&amp;CT13&amp;CHAR(10)&amp;ROUND(K13*AG13,0)&amp;"x"&amp;BQ13&amp;"x"&amp;DA13&amp;CHAR(10)&amp;ROUND(K13*AN13,0)&amp;"x"&amp;BX13&amp;"x"&amp;DH13&amp;CHAR(10)&amp;ROUND(K13*AU13,0)&amp;"x"&amp;CE13&amp;"x"&amp;DO13
)))))</f>
        <v/>
      </c>
      <c r="L58" s="16" t="str">
        <f aca="false">IF(L42=0,
"",
IF(L42=1,
ROUND(L13*T13,0)&amp;"x"&amp;BD13&amp;"x"&amp;CN13,
IF(L42=2,
ROUND(L13*T13,0)&amp;"x"&amp;BD13&amp;"x"&amp;CN13&amp;CHAR(10)&amp;ROUND(L13*AA13,0)&amp;"x"&amp;BK13&amp;"x"&amp;CU13,
IF(L42=3,
ROUND(L13*T13,0)&amp;"x"&amp;BD13&amp;"x"&amp;CN13&amp;CHAR(10)&amp;ROUND(L13*AA13,0)&amp;"x"&amp;BK13&amp;"x"&amp;CU13&amp;CHAR(10)&amp;ROUND(L13*AH13,0)&amp;"x"&amp;BR13&amp;"x"&amp;DB13,
IF(L42=4,
ROUND(L13*T13,0)&amp;"x"&amp;BD13&amp;"x"&amp;CN13&amp;CHAR(10)&amp;ROUND(L13*AA13,0)&amp;"x"&amp;BK13&amp;"x"&amp;CU13&amp;CHAR(10)&amp;ROUND(L13*AH13,0)&amp;"x"&amp;BR13&amp;"x"&amp;DB13&amp;CHAR(10)&amp;ROUND(L13*AO13,0)&amp;"x"&amp;BY13&amp;"x"&amp;DI13,
ROUND(L13*T13,0)&amp;"x"&amp;BD13&amp;"x"&amp;CN13&amp;CHAR(10)&amp;ROUND(L13*AA13,0)&amp;"x"&amp;BK13&amp;"x"&amp;CU13&amp;CHAR(10)&amp;ROUND(L13*AH13,0)&amp;"x"&amp;BR13&amp;"x"&amp;DB13&amp;CHAR(10)&amp;ROUND(L13*AO13,0)&amp;"x"&amp;BY13&amp;"x"&amp;DI13&amp;CHAR(10)&amp;ROUND(L13*AV13,0)&amp;"x"&amp;CF13&amp;"x"&amp;DP13
)))))</f>
        <v/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customFormat="false" ht="74.25" hidden="false" customHeight="true" outlineLevel="0" collapsed="false">
      <c r="A59" s="1" t="n">
        <f aca="false">A58+7</f>
        <v>43955</v>
      </c>
      <c r="B59" s="1" t="n">
        <f aca="false">A59+6</f>
        <v>43961</v>
      </c>
      <c r="C59" s="14" t="str">
        <f aca="false">TEXT(A59,"MM/DD")&amp;" ~ "&amp;TEXT(B59,"MM/DD")</f>
        <v>05/04 ~ 05/10</v>
      </c>
      <c r="D59" s="15" t="s">
        <v>20</v>
      </c>
      <c r="E59" s="15" t="n">
        <f aca="false">E14</f>
        <v>7</v>
      </c>
      <c r="F59" s="19" t="s">
        <v>30</v>
      </c>
      <c r="G59" s="16" t="str">
        <f aca="false">IF(G43=0,
"",
IF(G43=1,
ROUND(G14*O14,0)&amp;"x"&amp;AY14&amp;"x"&amp;CI14,
IF(G43=2,
ROUND(G14*O14,0)&amp;"x"&amp;AY14&amp;"x"&amp;CI14&amp;CHAR(10)&amp;ROUND(G14*V14,0)&amp;"x"&amp;BF14&amp;"x"&amp;CP14,
IF(G43=3,
ROUND(G14*O14,0)&amp;"x"&amp;AY14&amp;"x"&amp;CI14&amp;CHAR(10)&amp;ROUND(G14*V14,0)&amp;"x"&amp;BF14&amp;"x"&amp;CP14&amp;CHAR(10)&amp;ROUND(G14*AC14,0)&amp;"x"&amp;BM14&amp;"x"&amp;CW14,
IF(G43=4,
ROUND(G14*O14,0)&amp;"x"&amp;AY14&amp;"x"&amp;CI14&amp;CHAR(10)&amp;ROUND(G14*V14,0)&amp;"x"&amp;BF14&amp;"x"&amp;CP14&amp;CHAR(10)&amp;ROUND(G14*AC14,0)&amp;"x"&amp;BM14&amp;"x"&amp;CW14&amp;CHAR(10)&amp;ROUND(G14*AJ14,0)&amp;"x"&amp;BT14&amp;"x"&amp;DD14,
ROUND(G14*O14,0)&amp;"x"&amp;AY14&amp;"x"&amp;CI14&amp;CHAR(10)&amp;ROUND(G14*V14,0)&amp;"x"&amp;BF14&amp;"x"&amp;CP14&amp;CHAR(10)&amp;ROUND(G14*AC14,0)&amp;"x"&amp;BM14&amp;"x"&amp;CW14&amp;CHAR(10)&amp;ROUND(G14*AJ14,0)&amp;"x"&amp;BT14&amp;"x"&amp;DD14&amp;CHAR(10)&amp;ROUND(G14*AQ14,0)&amp;"x"&amp;CA14&amp;"x"&amp;DK14
)))))</f>
        <v/>
      </c>
      <c r="H59" s="19" t="s">
        <v>30</v>
      </c>
      <c r="I59" s="16" t="str">
        <f aca="false">IF(I43=0,
"",
IF(I43=1,
ROUND(I14*Q14,0)&amp;"x"&amp;BA14&amp;"x"&amp;CK14,
IF(I43=2,
ROUND(I14*Q14,0)&amp;"x"&amp;BA14&amp;"x"&amp;CK14&amp;CHAR(10)&amp;ROUND(I14*X14,0)&amp;"x"&amp;BH14&amp;"x"&amp;CR14,
IF(I43=3,
ROUND(I14*Q14,0)&amp;"x"&amp;BA14&amp;"x"&amp;CK14&amp;CHAR(10)&amp;ROUND(I14*X14,0)&amp;"x"&amp;BH14&amp;"x"&amp;CR14&amp;CHAR(10)&amp;ROUND(I14*AE14,0)&amp;"x"&amp;BO14&amp;"x"&amp;CY14,
IF(I43=4,
ROUND(I14*Q14,0)&amp;"x"&amp;BA14&amp;"x"&amp;CK14&amp;CHAR(10)&amp;ROUND(I14*X14,0)&amp;"x"&amp;BH14&amp;"x"&amp;CR14&amp;CHAR(10)&amp;ROUND(I14*AE14,0)&amp;"x"&amp;BO14&amp;"x"&amp;CY14&amp;CHAR(10)&amp;ROUND(I14*AL14,0)&amp;"x"&amp;BV14&amp;"x"&amp;DF14,
ROUND(I14*Q14,0)&amp;"x"&amp;BA14&amp;"x"&amp;CK14&amp;CHAR(10)&amp;ROUND(I14*X14,0)&amp;"x"&amp;BH14&amp;"x"&amp;CR14&amp;CHAR(10)&amp;ROUND(I14*AE14,0)&amp;"x"&amp;BO14&amp;"x"&amp;CY14&amp;CHAR(10)&amp;ROUND(I14*AL14,0)&amp;"x"&amp;BV14&amp;"x"&amp;DF14&amp;CHAR(10)&amp;ROUND(I14*AS14,0)&amp;"x"&amp;CC14&amp;"x"&amp;DM14
)))))</f>
        <v/>
      </c>
      <c r="J59" s="19" t="s">
        <v>30</v>
      </c>
      <c r="K59" s="16" t="str">
        <f aca="false">IF(K43=0,
"",
IF(K43=1,
ROUND(K14*S14,0)&amp;"x"&amp;BC14&amp;"x"&amp;CM14,
IF(K43=2,
ROUND(K14*S14,0)&amp;"x"&amp;BC14&amp;"x"&amp;CM14&amp;CHAR(10)&amp;ROUND(K14*Z14,0)&amp;"x"&amp;BJ14&amp;"x"&amp;CT14,
IF(K43=3,
ROUND(K14*S14,0)&amp;"x"&amp;BC14&amp;"x"&amp;CM14&amp;CHAR(10)&amp;ROUND(K14*Z14,0)&amp;"x"&amp;BJ14&amp;"x"&amp;CT14&amp;CHAR(10)&amp;ROUND(K14*AG14,0)&amp;"x"&amp;BQ14&amp;"x"&amp;DA14,
IF(K43=4,
ROUND(K14*S14,0)&amp;"x"&amp;BC14&amp;"x"&amp;CM14&amp;CHAR(10)&amp;ROUND(K14*Z14,0)&amp;"x"&amp;BJ14&amp;"x"&amp;CT14&amp;CHAR(10)&amp;ROUND(K14*AG14,0)&amp;"x"&amp;BQ14&amp;"x"&amp;DA14&amp;CHAR(10)&amp;ROUND(K14*AN14,0)&amp;"x"&amp;BX14&amp;"x"&amp;DH14,
ROUND(K14*S14,0)&amp;"x"&amp;BC14&amp;"x"&amp;CM14&amp;CHAR(10)&amp;ROUND(K14*Z14,0)&amp;"x"&amp;BJ14&amp;"x"&amp;CT14&amp;CHAR(10)&amp;ROUND(K14*AG14,0)&amp;"x"&amp;BQ14&amp;"x"&amp;DA14&amp;CHAR(10)&amp;ROUND(K14*AN14,0)&amp;"x"&amp;BX14&amp;"x"&amp;DH14&amp;CHAR(10)&amp;ROUND(K14*AU14,0)&amp;"x"&amp;CE14&amp;"x"&amp;DO14
)))))</f>
        <v/>
      </c>
      <c r="L59" s="16" t="str">
        <f aca="false">IF(L43=0,
"",
IF(L43=1,
ROUND(L14*T14,0)&amp;"x"&amp;BD14&amp;"x"&amp;CN14,
IF(L43=2,
ROUND(L14*T14,0)&amp;"x"&amp;BD14&amp;"x"&amp;CN14&amp;CHAR(10)&amp;ROUND(L14*AA14,0)&amp;"x"&amp;BK14&amp;"x"&amp;CU14,
IF(L43=3,
ROUND(L14*T14,0)&amp;"x"&amp;BD14&amp;"x"&amp;CN14&amp;CHAR(10)&amp;ROUND(L14*AA14,0)&amp;"x"&amp;BK14&amp;"x"&amp;CU14&amp;CHAR(10)&amp;ROUND(L14*AH14,0)&amp;"x"&amp;BR14&amp;"x"&amp;DB14,
IF(L43=4,
ROUND(L14*T14,0)&amp;"x"&amp;BD14&amp;"x"&amp;CN14&amp;CHAR(10)&amp;ROUND(L14*AA14,0)&amp;"x"&amp;BK14&amp;"x"&amp;CU14&amp;CHAR(10)&amp;ROUND(L14*AH14,0)&amp;"x"&amp;BR14&amp;"x"&amp;DB14&amp;CHAR(10)&amp;ROUND(L14*AO14,0)&amp;"x"&amp;BY14&amp;"x"&amp;DI14,
ROUND(L14*T14,0)&amp;"x"&amp;BD14&amp;"x"&amp;CN14&amp;CHAR(10)&amp;ROUND(L14*AA14,0)&amp;"x"&amp;BK14&amp;"x"&amp;CU14&amp;CHAR(10)&amp;ROUND(L14*AH14,0)&amp;"x"&amp;BR14&amp;"x"&amp;DB14&amp;CHAR(10)&amp;ROUND(L14*AO14,0)&amp;"x"&amp;BY14&amp;"x"&amp;DI14&amp;CHAR(10)&amp;ROUND(L14*AV14,0)&amp;"x"&amp;CF14&amp;"x"&amp;DP14
)))))</f>
        <v/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customFormat="false" ht="74.25" hidden="false" customHeight="true" outlineLevel="0" collapsed="false">
      <c r="A60" s="1" t="n">
        <f aca="false">A59+7</f>
        <v>43962</v>
      </c>
      <c r="B60" s="1" t="n">
        <f aca="false">A60+6</f>
        <v>43968</v>
      </c>
      <c r="C60" s="14" t="str">
        <f aca="false">TEXT(A60,"MM/DD")&amp;" ~ "&amp;TEXT(B60,"MM/DD")</f>
        <v>05/11 ~ 05/17</v>
      </c>
      <c r="D60" s="15" t="s">
        <v>20</v>
      </c>
      <c r="E60" s="15" t="n">
        <f aca="false">E15</f>
        <v>8</v>
      </c>
      <c r="F60" s="19" t="s">
        <v>30</v>
      </c>
      <c r="G60" s="16" t="str">
        <f aca="false">IF(G44=0,
"",
IF(G44=1,
ROUND(G15*O15,0)&amp;"x"&amp;AY15&amp;"x"&amp;CI15,
IF(G44=2,
ROUND(G15*O15,0)&amp;"x"&amp;AY15&amp;"x"&amp;CI15&amp;CHAR(10)&amp;ROUND(G15*V15,0)&amp;"x"&amp;BF15&amp;"x"&amp;CP15,
IF(G44=3,
ROUND(G15*O15,0)&amp;"x"&amp;AY15&amp;"x"&amp;CI15&amp;CHAR(10)&amp;ROUND(G15*V15,0)&amp;"x"&amp;BF15&amp;"x"&amp;CP15&amp;CHAR(10)&amp;ROUND(G15*AC15,0)&amp;"x"&amp;BM15&amp;"x"&amp;CW15,
IF(G44=4,
ROUND(G15*O15,0)&amp;"x"&amp;AY15&amp;"x"&amp;CI15&amp;CHAR(10)&amp;ROUND(G15*V15,0)&amp;"x"&amp;BF15&amp;"x"&amp;CP15&amp;CHAR(10)&amp;ROUND(G15*AC15,0)&amp;"x"&amp;BM15&amp;"x"&amp;CW15&amp;CHAR(10)&amp;ROUND(G15*AJ15,0)&amp;"x"&amp;BT15&amp;"x"&amp;DD15,
ROUND(G15*O15,0)&amp;"x"&amp;AY15&amp;"x"&amp;CI15&amp;CHAR(10)&amp;ROUND(G15*V15,0)&amp;"x"&amp;BF15&amp;"x"&amp;CP15&amp;CHAR(10)&amp;ROUND(G15*AC15,0)&amp;"x"&amp;BM15&amp;"x"&amp;CW15&amp;CHAR(10)&amp;ROUND(G15*AJ15,0)&amp;"x"&amp;BT15&amp;"x"&amp;DD15&amp;CHAR(10)&amp;ROUND(G15*AQ15,0)&amp;"x"&amp;CA15&amp;"x"&amp;DK15
)))))</f>
        <v/>
      </c>
      <c r="H60" s="19" t="s">
        <v>30</v>
      </c>
      <c r="I60" s="16" t="str">
        <f aca="false">IF(I44=0,
"",
IF(I44=1,
ROUND(I15*Q15,0)&amp;"x"&amp;BA15&amp;"x"&amp;CK15,
IF(I44=2,
ROUND(I15*Q15,0)&amp;"x"&amp;BA15&amp;"x"&amp;CK15&amp;CHAR(10)&amp;ROUND(I15*X15,0)&amp;"x"&amp;BH15&amp;"x"&amp;CR15,
IF(I44=3,
ROUND(I15*Q15,0)&amp;"x"&amp;BA15&amp;"x"&amp;CK15&amp;CHAR(10)&amp;ROUND(I15*X15,0)&amp;"x"&amp;BH15&amp;"x"&amp;CR15&amp;CHAR(10)&amp;ROUND(I15*AE15,0)&amp;"x"&amp;BO15&amp;"x"&amp;CY15,
IF(I44=4,
ROUND(I15*Q15,0)&amp;"x"&amp;BA15&amp;"x"&amp;CK15&amp;CHAR(10)&amp;ROUND(I15*X15,0)&amp;"x"&amp;BH15&amp;"x"&amp;CR15&amp;CHAR(10)&amp;ROUND(I15*AE15,0)&amp;"x"&amp;BO15&amp;"x"&amp;CY15&amp;CHAR(10)&amp;ROUND(I15*AL15,0)&amp;"x"&amp;BV15&amp;"x"&amp;DF15,
ROUND(I15*Q15,0)&amp;"x"&amp;BA15&amp;"x"&amp;CK15&amp;CHAR(10)&amp;ROUND(I15*X15,0)&amp;"x"&amp;BH15&amp;"x"&amp;CR15&amp;CHAR(10)&amp;ROUND(I15*AE15,0)&amp;"x"&amp;BO15&amp;"x"&amp;CY15&amp;CHAR(10)&amp;ROUND(I15*AL15,0)&amp;"x"&amp;BV15&amp;"x"&amp;DF15&amp;CHAR(10)&amp;ROUND(I15*AS15,0)&amp;"x"&amp;CC15&amp;"x"&amp;DM15
)))))</f>
        <v/>
      </c>
      <c r="J60" s="19" t="s">
        <v>30</v>
      </c>
      <c r="K60" s="16" t="str">
        <f aca="false">IF(K44=0,
"",
IF(K44=1,
ROUND(K15*S15,0)&amp;"x"&amp;BC15&amp;"x"&amp;CM15,
IF(K44=2,
ROUND(K15*S15,0)&amp;"x"&amp;BC15&amp;"x"&amp;CM15&amp;CHAR(10)&amp;ROUND(K15*Z15,0)&amp;"x"&amp;BJ15&amp;"x"&amp;CT15,
IF(K44=3,
ROUND(K15*S15,0)&amp;"x"&amp;BC15&amp;"x"&amp;CM15&amp;CHAR(10)&amp;ROUND(K15*Z15,0)&amp;"x"&amp;BJ15&amp;"x"&amp;CT15&amp;CHAR(10)&amp;ROUND(K15*AG15,0)&amp;"x"&amp;BQ15&amp;"x"&amp;DA15,
IF(K44=4,
ROUND(K15*S15,0)&amp;"x"&amp;BC15&amp;"x"&amp;CM15&amp;CHAR(10)&amp;ROUND(K15*Z15,0)&amp;"x"&amp;BJ15&amp;"x"&amp;CT15&amp;CHAR(10)&amp;ROUND(K15*AG15,0)&amp;"x"&amp;BQ15&amp;"x"&amp;DA15&amp;CHAR(10)&amp;ROUND(K15*AN15,0)&amp;"x"&amp;BX15&amp;"x"&amp;DH15,
ROUND(K15*S15,0)&amp;"x"&amp;BC15&amp;"x"&amp;CM15&amp;CHAR(10)&amp;ROUND(K15*Z15,0)&amp;"x"&amp;BJ15&amp;"x"&amp;CT15&amp;CHAR(10)&amp;ROUND(K15*AG15,0)&amp;"x"&amp;BQ15&amp;"x"&amp;DA15&amp;CHAR(10)&amp;ROUND(K15*AN15,0)&amp;"x"&amp;BX15&amp;"x"&amp;DH15&amp;CHAR(10)&amp;ROUND(K15*AU15,0)&amp;"x"&amp;CE15&amp;"x"&amp;DO15
)))))</f>
        <v/>
      </c>
      <c r="L60" s="16" t="str">
        <f aca="false">IF(L44=0,
"",
IF(L44=1,
ROUND(L15*T15,0)&amp;"x"&amp;BD15&amp;"x"&amp;CN15,
IF(L44=2,
ROUND(L15*T15,0)&amp;"x"&amp;BD15&amp;"x"&amp;CN15&amp;CHAR(10)&amp;ROUND(L15*AA15,0)&amp;"x"&amp;BK15&amp;"x"&amp;CU15,
IF(L44=3,
ROUND(L15*T15,0)&amp;"x"&amp;BD15&amp;"x"&amp;CN15&amp;CHAR(10)&amp;ROUND(L15*AA15,0)&amp;"x"&amp;BK15&amp;"x"&amp;CU15&amp;CHAR(10)&amp;ROUND(L15*AH15,0)&amp;"x"&amp;BR15&amp;"x"&amp;DB15,
IF(L44=4,
ROUND(L15*T15,0)&amp;"x"&amp;BD15&amp;"x"&amp;CN15&amp;CHAR(10)&amp;ROUND(L15*AA15,0)&amp;"x"&amp;BK15&amp;"x"&amp;CU15&amp;CHAR(10)&amp;ROUND(L15*AH15,0)&amp;"x"&amp;BR15&amp;"x"&amp;DB15&amp;CHAR(10)&amp;ROUND(L15*AO15,0)&amp;"x"&amp;BY15&amp;"x"&amp;DI15,
ROUND(L15*T15,0)&amp;"x"&amp;BD15&amp;"x"&amp;CN15&amp;CHAR(10)&amp;ROUND(L15*AA15,0)&amp;"x"&amp;BK15&amp;"x"&amp;CU15&amp;CHAR(10)&amp;ROUND(L15*AH15,0)&amp;"x"&amp;BR15&amp;"x"&amp;DB15&amp;CHAR(10)&amp;ROUND(L15*AO15,0)&amp;"x"&amp;BY15&amp;"x"&amp;DI15&amp;CHAR(10)&amp;ROUND(L15*AV15,0)&amp;"x"&amp;CF15&amp;"x"&amp;DP15
)))))</f>
        <v/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customFormat="false" ht="74.25" hidden="false" customHeight="true" outlineLevel="0" collapsed="false">
      <c r="A61" s="1" t="n">
        <f aca="false">A60+7</f>
        <v>43969</v>
      </c>
      <c r="B61" s="1" t="n">
        <f aca="false">A61+6</f>
        <v>43975</v>
      </c>
      <c r="C61" s="14" t="str">
        <f aca="false">TEXT(A61,"MM/DD")&amp;" ~ "&amp;TEXT(B61,"MM/DD")</f>
        <v>05/18 ~ 05/24</v>
      </c>
      <c r="D61" s="15" t="s">
        <v>21</v>
      </c>
      <c r="E61" s="15" t="n">
        <f aca="false">E16</f>
        <v>9</v>
      </c>
      <c r="F61" s="16" t="str">
        <f aca="false">IF(F45=0,
"",
IF(F45=1,
ROUND(F16*N16,0)&amp;"x"&amp;AX16&amp;"x"&amp;CH16,
IF(F45=2,
ROUND(F16*N16,0)&amp;"x"&amp;AX16&amp;"x"&amp;CH16&amp;CHAR(10)&amp;ROUND(F16*U16,0)&amp;"x"&amp;BE16&amp;"x"&amp;CO16,
IF(F45=3,
ROUND(F16*N16,0)&amp;"x"&amp;AX16&amp;"x"&amp;CH16&amp;CHAR(10)&amp;ROUND(F16*U16,0)&amp;"x"&amp;BE16&amp;"x"&amp;CO16&amp;CHAR(10)&amp;ROUND(F16*AB16,0)&amp;"x"&amp;BL16&amp;"x"&amp;CV16,
IF(F45=4,
ROUND(F16*N16,0)&amp;"x"&amp;AX16&amp;"x"&amp;CH16&amp;CHAR(10)&amp;ROUND(F16*U16,0)&amp;"x"&amp;BE16&amp;"x"&amp;CO16&amp;CHAR(10)&amp;ROUND(F16*AB16,0)&amp;"x"&amp;BL16&amp;"x"&amp;CV16&amp;CHAR(10)&amp;ROUND(F16*AI16,0)&amp;"x"&amp;BS16&amp;"x"&amp;DC16,
ROUND(F16*N16,0)&amp;"x"&amp;AX16&amp;"x"&amp;CH16&amp;CHAR(10)&amp;ROUND(F16*U16,0)&amp;"x"&amp;BE16&amp;"x"&amp;CO16&amp;CHAR(10)&amp;ROUND(F16*AB16,0)&amp;"x"&amp;BL16&amp;"x"&amp;CV16&amp;CHAR(10)&amp;ROUND(F16*AI16,0)&amp;"x"&amp;BS16&amp;"x"&amp;DC16&amp;CHAR(10)&amp;ROUND(F16*AP16,0)&amp;"x"&amp;BZ16&amp;"x"&amp;DJ16
)))))</f>
        <v>224x3x1
259x4x1
293x4x3
293x5x1</v>
      </c>
      <c r="G61" s="16" t="str">
        <f aca="false">IF(G45=0,
"",
IF(G45=1,
ROUND(G16*O16,0)&amp;"x"&amp;AY16&amp;"x"&amp;CI16,
IF(G45=2,
ROUND(G16*O16,0)&amp;"x"&amp;AY16&amp;"x"&amp;CI16&amp;CHAR(10)&amp;ROUND(G16*V16,0)&amp;"x"&amp;BF16&amp;"x"&amp;CP16,
IF(G45=3,
ROUND(G16*O16,0)&amp;"x"&amp;AY16&amp;"x"&amp;CI16&amp;CHAR(10)&amp;ROUND(G16*V16,0)&amp;"x"&amp;BF16&amp;"x"&amp;CP16&amp;CHAR(10)&amp;ROUND(G16*AC16,0)&amp;"x"&amp;BM16&amp;"x"&amp;CW16,
IF(G45=4,
ROUND(G16*O16,0)&amp;"x"&amp;AY16&amp;"x"&amp;CI16&amp;CHAR(10)&amp;ROUND(G16*V16,0)&amp;"x"&amp;BF16&amp;"x"&amp;CP16&amp;CHAR(10)&amp;ROUND(G16*AC16,0)&amp;"x"&amp;BM16&amp;"x"&amp;CW16&amp;CHAR(10)&amp;ROUND(G16*AJ16,0)&amp;"x"&amp;BT16&amp;"x"&amp;DD16,
ROUND(G16*O16,0)&amp;"x"&amp;AY16&amp;"x"&amp;CI16&amp;CHAR(10)&amp;ROUND(G16*V16,0)&amp;"x"&amp;BF16&amp;"x"&amp;CP16&amp;CHAR(10)&amp;ROUND(G16*AC16,0)&amp;"x"&amp;BM16&amp;"x"&amp;CW16&amp;CHAR(10)&amp;ROUND(G16*AJ16,0)&amp;"x"&amp;BT16&amp;"x"&amp;DD16&amp;CHAR(10)&amp;ROUND(G16*AQ16,0)&amp;"x"&amp;CA16&amp;"x"&amp;DK16
)))))</f>
        <v/>
      </c>
      <c r="H61" s="16" t="str">
        <f aca="false">IF(H45=0,
"",
IF(H45=1,
ROUND(H16*P16,0)&amp;"x"&amp;AZ16&amp;"x"&amp;CJ16,
IF(H45=2,
ROUND(H16*P16,0)&amp;"x"&amp;AZ16&amp;"x"&amp;CJ16&amp;CHAR(10)&amp;ROUND(H16*W16,0)&amp;"x"&amp;BG16&amp;"x"&amp;CQ16,
IF(H45=3,
ROUND(H16*P16,0)&amp;"x"&amp;AZ16&amp;"x"&amp;CJ16&amp;CHAR(10)&amp;ROUND(H16*W16,0)&amp;"x"&amp;BG16&amp;"x"&amp;CQ16&amp;CHAR(10)&amp;ROUND(H16*AD16,0)&amp;"x"&amp;BN16&amp;"x"&amp;CX16,
IF(H45=4,
ROUND(H16*P16,0)&amp;"x"&amp;AZ16&amp;"x"&amp;CJ16&amp;CHAR(10)&amp;ROUND(H16*W16,0)&amp;"x"&amp;BG16&amp;"x"&amp;CQ16&amp;CHAR(10)&amp;ROUND(H16*AD16,0)&amp;"x"&amp;BN16&amp;"x"&amp;CX16&amp;CHAR(10)&amp;ROUND(H16*AK16,0)&amp;"x"&amp;BU16&amp;"x"&amp;DE16,
ROUND(H16*P16,0)&amp;"x"&amp;AZ16&amp;"x"&amp;CJ16&amp;CHAR(10)&amp;ROUND(H16*W16,0)&amp;"x"&amp;BG16&amp;"x"&amp;CQ16&amp;CHAR(10)&amp;ROUND(H16*AD16,0)&amp;"x"&amp;BN16&amp;"x"&amp;CX16&amp;CHAR(10)&amp;ROUND(H16*AK16,0)&amp;"x"&amp;BU16&amp;"x"&amp;DE16&amp;CHAR(10)&amp;ROUND(H16*AR16,0)&amp;"x"&amp;CB16&amp;"x"&amp;DL16
)))))</f>
        <v>207x3x1
242x3x1
276x4x1
311x3x1
293x5x2</v>
      </c>
      <c r="I61" s="16" t="str">
        <f aca="false">IF(I45=0,
"",
IF(I45=1,
ROUND(I16*Q16,0)&amp;"x"&amp;BA16&amp;"x"&amp;CK16,
IF(I45=2,
ROUND(I16*Q16,0)&amp;"x"&amp;BA16&amp;"x"&amp;CK16&amp;CHAR(10)&amp;ROUND(I16*X16,0)&amp;"x"&amp;BH16&amp;"x"&amp;CR16,
IF(I45=3,
ROUND(I16*Q16,0)&amp;"x"&amp;BA16&amp;"x"&amp;CK16&amp;CHAR(10)&amp;ROUND(I16*X16,0)&amp;"x"&amp;BH16&amp;"x"&amp;CR16&amp;CHAR(10)&amp;ROUND(I16*AE16,0)&amp;"x"&amp;BO16&amp;"x"&amp;CY16,
IF(I45=4,
ROUND(I16*Q16,0)&amp;"x"&amp;BA16&amp;"x"&amp;CK16&amp;CHAR(10)&amp;ROUND(I16*X16,0)&amp;"x"&amp;BH16&amp;"x"&amp;CR16&amp;CHAR(10)&amp;ROUND(I16*AE16,0)&amp;"x"&amp;BO16&amp;"x"&amp;CY16&amp;CHAR(10)&amp;ROUND(I16*AL16,0)&amp;"x"&amp;BV16&amp;"x"&amp;DF16,
ROUND(I16*Q16,0)&amp;"x"&amp;BA16&amp;"x"&amp;CK16&amp;CHAR(10)&amp;ROUND(I16*X16,0)&amp;"x"&amp;BH16&amp;"x"&amp;CR16&amp;CHAR(10)&amp;ROUND(I16*AE16,0)&amp;"x"&amp;BO16&amp;"x"&amp;CY16&amp;CHAR(10)&amp;ROUND(I16*AL16,0)&amp;"x"&amp;BV16&amp;"x"&amp;DF16&amp;CHAR(10)&amp;ROUND(I16*AS16,0)&amp;"x"&amp;CC16&amp;"x"&amp;DM16
)))))</f>
        <v/>
      </c>
      <c r="J61" s="16" t="str">
        <f aca="false">IF(J45=0,
"",
IF(J45=1,
ROUND(J16*R16,0)&amp;"x"&amp;BB16&amp;"x"&amp;CL16,
IF(J45=2,
ROUND(J16*R16,0)&amp;"x"&amp;BB16&amp;"x"&amp;CL16&amp;CHAR(10)&amp;ROUND(J16*Y16,0)&amp;"x"&amp;BI16&amp;"x"&amp;CS16,
IF(J45=3,
ROUND(J16*R16,0)&amp;"x"&amp;BB16&amp;"x"&amp;CL16&amp;CHAR(10)&amp;ROUND(J16*Y16,0)&amp;"x"&amp;BI16&amp;"x"&amp;CS16&amp;CHAR(10)&amp;ROUND(J16*AF16,0)&amp;"x"&amp;BP16&amp;"x"&amp;CZ16,
IF(J45=4,
ROUND(J16*R16,0)&amp;"x"&amp;BB16&amp;"x"&amp;CL16&amp;CHAR(10)&amp;ROUND(J16*Y16,0)&amp;"x"&amp;BI16&amp;"x"&amp;CS16&amp;CHAR(10)&amp;ROUND(J16*AF16,0)&amp;"x"&amp;BP16&amp;"x"&amp;CZ16&amp;CHAR(10)&amp;ROUND(J16*AM16,0)&amp;"x"&amp;BW16&amp;"x"&amp;DG16,
ROUND(J16*R16,0)&amp;"x"&amp;BB16&amp;"x"&amp;CL16&amp;CHAR(10)&amp;ROUND(J16*Y16,0)&amp;"x"&amp;BI16&amp;"x"&amp;CS16&amp;CHAR(10)&amp;ROUND(J16*AF16,0)&amp;"x"&amp;BP16&amp;"x"&amp;CZ16&amp;CHAR(10)&amp;ROUND(J16*AM16,0)&amp;"x"&amp;BW16&amp;"x"&amp;DG16&amp;CHAR(10)&amp;ROUND(J16*AT16,0)&amp;"x"&amp;CD16&amp;"x"&amp;DN16
)))))</f>
        <v/>
      </c>
      <c r="K61" s="16" t="str">
        <f aca="false">IF(K45=0,
"",
IF(K45=1,
ROUND(K16*S16,0)&amp;"x"&amp;BC16&amp;"x"&amp;CM16,
IF(K45=2,
ROUND(K16*S16,0)&amp;"x"&amp;BC16&amp;"x"&amp;CM16&amp;CHAR(10)&amp;ROUND(K16*Z16,0)&amp;"x"&amp;BJ16&amp;"x"&amp;CT16,
IF(K45=3,
ROUND(K16*S16,0)&amp;"x"&amp;BC16&amp;"x"&amp;CM16&amp;CHAR(10)&amp;ROUND(K16*Z16,0)&amp;"x"&amp;BJ16&amp;"x"&amp;CT16&amp;CHAR(10)&amp;ROUND(K16*AG16,0)&amp;"x"&amp;BQ16&amp;"x"&amp;DA16,
IF(K45=4,
ROUND(K16*S16,0)&amp;"x"&amp;BC16&amp;"x"&amp;CM16&amp;CHAR(10)&amp;ROUND(K16*Z16,0)&amp;"x"&amp;BJ16&amp;"x"&amp;CT16&amp;CHAR(10)&amp;ROUND(K16*AG16,0)&amp;"x"&amp;BQ16&amp;"x"&amp;DA16&amp;CHAR(10)&amp;ROUND(K16*AN16,0)&amp;"x"&amp;BX16&amp;"x"&amp;DH16,
ROUND(K16*S16,0)&amp;"x"&amp;BC16&amp;"x"&amp;CM16&amp;CHAR(10)&amp;ROUND(K16*Z16,0)&amp;"x"&amp;BJ16&amp;"x"&amp;CT16&amp;CHAR(10)&amp;ROUND(K16*AG16,0)&amp;"x"&amp;BQ16&amp;"x"&amp;DA16&amp;CHAR(10)&amp;ROUND(K16*AN16,0)&amp;"x"&amp;BX16&amp;"x"&amp;DH16&amp;CHAR(10)&amp;ROUND(K16*AU16,0)&amp;"x"&amp;CE16&amp;"x"&amp;DO16
)))))</f>
        <v>224x4x1
242x4x1
276x4x5</v>
      </c>
      <c r="L61" s="16" t="str">
        <f aca="false">IF(L45=0,
"",
IF(L45=1,
ROUND(L16*T16,0)&amp;"x"&amp;BD16&amp;"x"&amp;CN16,
IF(L45=2,
ROUND(L16*T16,0)&amp;"x"&amp;BD16&amp;"x"&amp;CN16&amp;CHAR(10)&amp;ROUND(L16*AA16,0)&amp;"x"&amp;BK16&amp;"x"&amp;CU16,
IF(L45=3,
ROUND(L16*T16,0)&amp;"x"&amp;BD16&amp;"x"&amp;CN16&amp;CHAR(10)&amp;ROUND(L16*AA16,0)&amp;"x"&amp;BK16&amp;"x"&amp;CU16&amp;CHAR(10)&amp;ROUND(L16*AH16,0)&amp;"x"&amp;BR16&amp;"x"&amp;DB16,
IF(L45=4,
ROUND(L16*T16,0)&amp;"x"&amp;BD16&amp;"x"&amp;CN16&amp;CHAR(10)&amp;ROUND(L16*AA16,0)&amp;"x"&amp;BK16&amp;"x"&amp;CU16&amp;CHAR(10)&amp;ROUND(L16*AH16,0)&amp;"x"&amp;BR16&amp;"x"&amp;DB16&amp;CHAR(10)&amp;ROUND(L16*AO16,0)&amp;"x"&amp;BY16&amp;"x"&amp;DI16,
ROUND(L16*T16,0)&amp;"x"&amp;BD16&amp;"x"&amp;CN16&amp;CHAR(10)&amp;ROUND(L16*AA16,0)&amp;"x"&amp;BK16&amp;"x"&amp;CU16&amp;CHAR(10)&amp;ROUND(L16*AH16,0)&amp;"x"&amp;BR16&amp;"x"&amp;DB16&amp;CHAR(10)&amp;ROUND(L16*AO16,0)&amp;"x"&amp;BY16&amp;"x"&amp;DI16&amp;CHAR(10)&amp;ROUND(L16*AV16,0)&amp;"x"&amp;CF16&amp;"x"&amp;DP16
)))))</f>
        <v/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customFormat="false" ht="74.25" hidden="false" customHeight="true" outlineLevel="0" collapsed="false">
      <c r="A62" s="1" t="n">
        <f aca="false">A61+7</f>
        <v>43976</v>
      </c>
      <c r="B62" s="1" t="n">
        <f aca="false">A62+6</f>
        <v>43982</v>
      </c>
      <c r="C62" s="14" t="str">
        <f aca="false">TEXT(A62,"MM/DD")&amp;" ~ "&amp;TEXT(B62,"MM/DD")</f>
        <v>05/25 ~ 05/31</v>
      </c>
      <c r="D62" s="15" t="s">
        <v>21</v>
      </c>
      <c r="E62" s="15" t="n">
        <f aca="false">E17</f>
        <v>10</v>
      </c>
      <c r="F62" s="16" t="str">
        <f aca="false">IF(F46=0,
"",
IF(F46=1,
ROUND(F17*N17,0)&amp;"x"&amp;AX17&amp;"x"&amp;CH17,
IF(F46=2,
ROUND(F17*N17,0)&amp;"x"&amp;AX17&amp;"x"&amp;CH17&amp;CHAR(10)&amp;ROUND(F17*U17,0)&amp;"x"&amp;BE17&amp;"x"&amp;CO17,
IF(F46=3,
ROUND(F17*N17,0)&amp;"x"&amp;AX17&amp;"x"&amp;CH17&amp;CHAR(10)&amp;ROUND(F17*U17,0)&amp;"x"&amp;BE17&amp;"x"&amp;CO17&amp;CHAR(10)&amp;ROUND(F17*AB17,0)&amp;"x"&amp;BL17&amp;"x"&amp;CV17,
IF(F46=4,
ROUND(F17*N17,0)&amp;"x"&amp;AX17&amp;"x"&amp;CH17&amp;CHAR(10)&amp;ROUND(F17*U17,0)&amp;"x"&amp;BE17&amp;"x"&amp;CO17&amp;CHAR(10)&amp;ROUND(F17*AB17,0)&amp;"x"&amp;BL17&amp;"x"&amp;CV17&amp;CHAR(10)&amp;ROUND(F17*AI17,0)&amp;"x"&amp;BS17&amp;"x"&amp;DC17,
ROUND(F17*N17,0)&amp;"x"&amp;AX17&amp;"x"&amp;CH17&amp;CHAR(10)&amp;ROUND(F17*U17,0)&amp;"x"&amp;BE17&amp;"x"&amp;CO17&amp;CHAR(10)&amp;ROUND(F17*AB17,0)&amp;"x"&amp;BL17&amp;"x"&amp;CV17&amp;CHAR(10)&amp;ROUND(F17*AI17,0)&amp;"x"&amp;BS17&amp;"x"&amp;DC17&amp;CHAR(10)&amp;ROUND(F17*AP17,0)&amp;"x"&amp;BZ17&amp;"x"&amp;DJ17
)))))</f>
        <v>207x4x1
242x4x1
276x4x1
311x3x1
311x4x2</v>
      </c>
      <c r="G62" s="16" t="str">
        <f aca="false">IF(G46=0,
"",
IF(G46=1,
ROUND(G17*O17,0)&amp;"x"&amp;AY17&amp;"x"&amp;CI17,
IF(G46=2,
ROUND(G17*O17,0)&amp;"x"&amp;AY17&amp;"x"&amp;CI17&amp;CHAR(10)&amp;ROUND(G17*V17,0)&amp;"x"&amp;BF17&amp;"x"&amp;CP17,
IF(G46=3,
ROUND(G17*O17,0)&amp;"x"&amp;AY17&amp;"x"&amp;CI17&amp;CHAR(10)&amp;ROUND(G17*V17,0)&amp;"x"&amp;BF17&amp;"x"&amp;CP17&amp;CHAR(10)&amp;ROUND(G17*AC17,0)&amp;"x"&amp;BM17&amp;"x"&amp;CW17,
IF(G46=4,
ROUND(G17*O17,0)&amp;"x"&amp;AY17&amp;"x"&amp;CI17&amp;CHAR(10)&amp;ROUND(G17*V17,0)&amp;"x"&amp;BF17&amp;"x"&amp;CP17&amp;CHAR(10)&amp;ROUND(G17*AC17,0)&amp;"x"&amp;BM17&amp;"x"&amp;CW17&amp;CHAR(10)&amp;ROUND(G17*AJ17,0)&amp;"x"&amp;BT17&amp;"x"&amp;DD17,
ROUND(G17*O17,0)&amp;"x"&amp;AY17&amp;"x"&amp;CI17&amp;CHAR(10)&amp;ROUND(G17*V17,0)&amp;"x"&amp;BF17&amp;"x"&amp;CP17&amp;CHAR(10)&amp;ROUND(G17*AC17,0)&amp;"x"&amp;BM17&amp;"x"&amp;CW17&amp;CHAR(10)&amp;ROUND(G17*AJ17,0)&amp;"x"&amp;BT17&amp;"x"&amp;DD17&amp;CHAR(10)&amp;ROUND(G17*AQ17,0)&amp;"x"&amp;CA17&amp;"x"&amp;DK17
)))))</f>
        <v/>
      </c>
      <c r="H62" s="16" t="str">
        <f aca="false">IF(H46=0,
"",
IF(H46=1,
ROUND(H17*P17,0)&amp;"x"&amp;AZ17&amp;"x"&amp;CJ17,
IF(H46=2,
ROUND(H17*P17,0)&amp;"x"&amp;AZ17&amp;"x"&amp;CJ17&amp;CHAR(10)&amp;ROUND(H17*W17,0)&amp;"x"&amp;BG17&amp;"x"&amp;CQ17,
IF(H46=3,
ROUND(H17*P17,0)&amp;"x"&amp;AZ17&amp;"x"&amp;CJ17&amp;CHAR(10)&amp;ROUND(H17*W17,0)&amp;"x"&amp;BG17&amp;"x"&amp;CQ17&amp;CHAR(10)&amp;ROUND(H17*AD17,0)&amp;"x"&amp;BN17&amp;"x"&amp;CX17,
IF(H46=4,
ROUND(H17*P17,0)&amp;"x"&amp;AZ17&amp;"x"&amp;CJ17&amp;CHAR(10)&amp;ROUND(H17*W17,0)&amp;"x"&amp;BG17&amp;"x"&amp;CQ17&amp;CHAR(10)&amp;ROUND(H17*AD17,0)&amp;"x"&amp;BN17&amp;"x"&amp;CX17&amp;CHAR(10)&amp;ROUND(H17*AK17,0)&amp;"x"&amp;BU17&amp;"x"&amp;DE17,
ROUND(H17*P17,0)&amp;"x"&amp;AZ17&amp;"x"&amp;CJ17&amp;CHAR(10)&amp;ROUND(H17*W17,0)&amp;"x"&amp;BG17&amp;"x"&amp;CQ17&amp;CHAR(10)&amp;ROUND(H17*AD17,0)&amp;"x"&amp;BN17&amp;"x"&amp;CX17&amp;CHAR(10)&amp;ROUND(H17*AK17,0)&amp;"x"&amp;BU17&amp;"x"&amp;DE17&amp;CHAR(10)&amp;ROUND(H17*AR17,0)&amp;"x"&amp;CB17&amp;"x"&amp;DL17
)))))</f>
        <v>224x3x1
259x3x1
293x3x1
311x3x3
328x3x1</v>
      </c>
      <c r="I62" s="16" t="str">
        <f aca="false">IF(I46=0,
"",
IF(I46=1,
ROUND(I17*Q17,0)&amp;"x"&amp;BA17&amp;"x"&amp;CK17,
IF(I46=2,
ROUND(I17*Q17,0)&amp;"x"&amp;BA17&amp;"x"&amp;CK17&amp;CHAR(10)&amp;ROUND(I17*X17,0)&amp;"x"&amp;BH17&amp;"x"&amp;CR17,
IF(I46=3,
ROUND(I17*Q17,0)&amp;"x"&amp;BA17&amp;"x"&amp;CK17&amp;CHAR(10)&amp;ROUND(I17*X17,0)&amp;"x"&amp;BH17&amp;"x"&amp;CR17&amp;CHAR(10)&amp;ROUND(I17*AE17,0)&amp;"x"&amp;BO17&amp;"x"&amp;CY17,
IF(I46=4,
ROUND(I17*Q17,0)&amp;"x"&amp;BA17&amp;"x"&amp;CK17&amp;CHAR(10)&amp;ROUND(I17*X17,0)&amp;"x"&amp;BH17&amp;"x"&amp;CR17&amp;CHAR(10)&amp;ROUND(I17*AE17,0)&amp;"x"&amp;BO17&amp;"x"&amp;CY17&amp;CHAR(10)&amp;ROUND(I17*AL17,0)&amp;"x"&amp;BV17&amp;"x"&amp;DF17,
ROUND(I17*Q17,0)&amp;"x"&amp;BA17&amp;"x"&amp;CK17&amp;CHAR(10)&amp;ROUND(I17*X17,0)&amp;"x"&amp;BH17&amp;"x"&amp;CR17&amp;CHAR(10)&amp;ROUND(I17*AE17,0)&amp;"x"&amp;BO17&amp;"x"&amp;CY17&amp;CHAR(10)&amp;ROUND(I17*AL17,0)&amp;"x"&amp;BV17&amp;"x"&amp;DF17&amp;CHAR(10)&amp;ROUND(I17*AS17,0)&amp;"x"&amp;CC17&amp;"x"&amp;DM17
)))))</f>
        <v/>
      </c>
      <c r="J62" s="16" t="str">
        <f aca="false">IF(J46=0,
"",
IF(J46=1,
ROUND(J17*R17,0)&amp;"x"&amp;BB17&amp;"x"&amp;CL17,
IF(J46=2,
ROUND(J17*R17,0)&amp;"x"&amp;BB17&amp;"x"&amp;CL17&amp;CHAR(10)&amp;ROUND(J17*Y17,0)&amp;"x"&amp;BI17&amp;"x"&amp;CS17,
IF(J46=3,
ROUND(J17*R17,0)&amp;"x"&amp;BB17&amp;"x"&amp;CL17&amp;CHAR(10)&amp;ROUND(J17*Y17,0)&amp;"x"&amp;BI17&amp;"x"&amp;CS17&amp;CHAR(10)&amp;ROUND(J17*AF17,0)&amp;"x"&amp;BP17&amp;"x"&amp;CZ17,
IF(J46=4,
ROUND(J17*R17,0)&amp;"x"&amp;BB17&amp;"x"&amp;CL17&amp;CHAR(10)&amp;ROUND(J17*Y17,0)&amp;"x"&amp;BI17&amp;"x"&amp;CS17&amp;CHAR(10)&amp;ROUND(J17*AF17,0)&amp;"x"&amp;BP17&amp;"x"&amp;CZ17&amp;CHAR(10)&amp;ROUND(J17*AM17,0)&amp;"x"&amp;BW17&amp;"x"&amp;DG17,
ROUND(J17*R17,0)&amp;"x"&amp;BB17&amp;"x"&amp;CL17&amp;CHAR(10)&amp;ROUND(J17*Y17,0)&amp;"x"&amp;BI17&amp;"x"&amp;CS17&amp;CHAR(10)&amp;ROUND(J17*AF17,0)&amp;"x"&amp;BP17&amp;"x"&amp;CZ17&amp;CHAR(10)&amp;ROUND(J17*AM17,0)&amp;"x"&amp;BW17&amp;"x"&amp;DG17&amp;CHAR(10)&amp;ROUND(J17*AT17,0)&amp;"x"&amp;CD17&amp;"x"&amp;DN17
)))))</f>
        <v/>
      </c>
      <c r="K62" s="16" t="str">
        <f aca="false">IF(K46=0,
"",
IF(K46=1,
ROUND(K17*S17,0)&amp;"x"&amp;BC17&amp;"x"&amp;CM17,
IF(K46=2,
ROUND(K17*S17,0)&amp;"x"&amp;BC17&amp;"x"&amp;CM17&amp;CHAR(10)&amp;ROUND(K17*Z17,0)&amp;"x"&amp;BJ17&amp;"x"&amp;CT17,
IF(K46=3,
ROUND(K17*S17,0)&amp;"x"&amp;BC17&amp;"x"&amp;CM17&amp;CHAR(10)&amp;ROUND(K17*Z17,0)&amp;"x"&amp;BJ17&amp;"x"&amp;CT17&amp;CHAR(10)&amp;ROUND(K17*AG17,0)&amp;"x"&amp;BQ17&amp;"x"&amp;DA17,
IF(K46=4,
ROUND(K17*S17,0)&amp;"x"&amp;BC17&amp;"x"&amp;CM17&amp;CHAR(10)&amp;ROUND(K17*Z17,0)&amp;"x"&amp;BJ17&amp;"x"&amp;CT17&amp;CHAR(10)&amp;ROUND(K17*AG17,0)&amp;"x"&amp;BQ17&amp;"x"&amp;DA17&amp;CHAR(10)&amp;ROUND(K17*AN17,0)&amp;"x"&amp;BX17&amp;"x"&amp;DH17,
ROUND(K17*S17,0)&amp;"x"&amp;BC17&amp;"x"&amp;CM17&amp;CHAR(10)&amp;ROUND(K17*Z17,0)&amp;"x"&amp;BJ17&amp;"x"&amp;CT17&amp;CHAR(10)&amp;ROUND(K17*AG17,0)&amp;"x"&amp;BQ17&amp;"x"&amp;DA17&amp;CHAR(10)&amp;ROUND(K17*AN17,0)&amp;"x"&amp;BX17&amp;"x"&amp;DH17&amp;CHAR(10)&amp;ROUND(K17*AU17,0)&amp;"x"&amp;CE17&amp;"x"&amp;DO17
)))))</f>
        <v>224x3x1
259x3x1
293x4x1
311x5x4</v>
      </c>
      <c r="L62" s="16" t="str">
        <f aca="false">IF(L46=0,
"",
IF(L46=1,
ROUND(L17*T17,0)&amp;"x"&amp;BD17&amp;"x"&amp;CN17,
IF(L46=2,
ROUND(L17*T17,0)&amp;"x"&amp;BD17&amp;"x"&amp;CN17&amp;CHAR(10)&amp;ROUND(L17*AA17,0)&amp;"x"&amp;BK17&amp;"x"&amp;CU17,
IF(L46=3,
ROUND(L17*T17,0)&amp;"x"&amp;BD17&amp;"x"&amp;CN17&amp;CHAR(10)&amp;ROUND(L17*AA17,0)&amp;"x"&amp;BK17&amp;"x"&amp;CU17&amp;CHAR(10)&amp;ROUND(L17*AH17,0)&amp;"x"&amp;BR17&amp;"x"&amp;DB17,
IF(L46=4,
ROUND(L17*T17,0)&amp;"x"&amp;BD17&amp;"x"&amp;CN17&amp;CHAR(10)&amp;ROUND(L17*AA17,0)&amp;"x"&amp;BK17&amp;"x"&amp;CU17&amp;CHAR(10)&amp;ROUND(L17*AH17,0)&amp;"x"&amp;BR17&amp;"x"&amp;DB17&amp;CHAR(10)&amp;ROUND(L17*AO17,0)&amp;"x"&amp;BY17&amp;"x"&amp;DI17,
ROUND(L17*T17,0)&amp;"x"&amp;BD17&amp;"x"&amp;CN17&amp;CHAR(10)&amp;ROUND(L17*AA17,0)&amp;"x"&amp;BK17&amp;"x"&amp;CU17&amp;CHAR(10)&amp;ROUND(L17*AH17,0)&amp;"x"&amp;BR17&amp;"x"&amp;DB17&amp;CHAR(10)&amp;ROUND(L17*AO17,0)&amp;"x"&amp;BY17&amp;"x"&amp;DI17&amp;CHAR(10)&amp;ROUND(L17*AV17,0)&amp;"x"&amp;CF17&amp;"x"&amp;DP17
)))))</f>
        <v/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customFormat="false" ht="46.25" hidden="false" customHeight="false" outlineLevel="0" collapsed="false">
      <c r="A63" s="1" t="n">
        <f aca="false">A62+7</f>
        <v>43983</v>
      </c>
      <c r="B63" s="1" t="n">
        <f aca="false">A63+6</f>
        <v>43989</v>
      </c>
      <c r="C63" s="14" t="str">
        <f aca="false">TEXT(A63,"MM/DD")&amp;" ~ "&amp;TEXT(B63,"MM/DD")</f>
        <v>06/01 ~ 06/07</v>
      </c>
      <c r="D63" s="15" t="s">
        <v>21</v>
      </c>
      <c r="E63" s="15" t="n">
        <f aca="false">E18</f>
        <v>11</v>
      </c>
      <c r="F63" s="16" t="str">
        <f aca="false">IF(F47=0,
"",
IF(F47=1,
ROUND(F18*N18,0)&amp;"x"&amp;AX18&amp;"x"&amp;CH18,
IF(F47=2,
ROUND(F18*N18,0)&amp;"x"&amp;AX18&amp;"x"&amp;CH18&amp;CHAR(10)&amp;ROUND(F18*U18,0)&amp;"x"&amp;BE18&amp;"x"&amp;CO18,
IF(F47=3,
ROUND(F18*N18,0)&amp;"x"&amp;AX18&amp;"x"&amp;CH18&amp;CHAR(10)&amp;ROUND(F18*U18,0)&amp;"x"&amp;BE18&amp;"x"&amp;CO18&amp;CHAR(10)&amp;ROUND(F18*AB18,0)&amp;"x"&amp;BL18&amp;"x"&amp;CV18,
IF(F47=4,
ROUND(F18*N18,0)&amp;"x"&amp;AX18&amp;"x"&amp;CH18&amp;CHAR(10)&amp;ROUND(F18*U18,0)&amp;"x"&amp;BE18&amp;"x"&amp;CO18&amp;CHAR(10)&amp;ROUND(F18*AB18,0)&amp;"x"&amp;BL18&amp;"x"&amp;CV18&amp;CHAR(10)&amp;ROUND(F18*AI18,0)&amp;"x"&amp;BS18&amp;"x"&amp;DC18,
ROUND(F18*N18,0)&amp;"x"&amp;AX18&amp;"x"&amp;CH18&amp;CHAR(10)&amp;ROUND(F18*U18,0)&amp;"x"&amp;BE18&amp;"x"&amp;CO18&amp;CHAR(10)&amp;ROUND(F18*AB18,0)&amp;"x"&amp;BL18&amp;"x"&amp;CV18&amp;CHAR(10)&amp;ROUND(F18*AI18,0)&amp;"x"&amp;BS18&amp;"x"&amp;DC18&amp;CHAR(10)&amp;ROUND(F18*AP18,0)&amp;"x"&amp;BZ18&amp;"x"&amp;DJ18
)))))</f>
        <v>207x3x1
242x3x1
276x3x1
311x5x5</v>
      </c>
      <c r="G63" s="16" t="str">
        <f aca="false">IF(G47=0,
"",
IF(G47=1,
ROUND(G18*O18,0)&amp;"x"&amp;AY18&amp;"x"&amp;CI18,
IF(G47=2,
ROUND(G18*O18,0)&amp;"x"&amp;AY18&amp;"x"&amp;CI18&amp;CHAR(10)&amp;ROUND(G18*V18,0)&amp;"x"&amp;BF18&amp;"x"&amp;CP18,
IF(G47=3,
ROUND(G18*O18,0)&amp;"x"&amp;AY18&amp;"x"&amp;CI18&amp;CHAR(10)&amp;ROUND(G18*V18,0)&amp;"x"&amp;BF18&amp;"x"&amp;CP18&amp;CHAR(10)&amp;ROUND(G18*AC18,0)&amp;"x"&amp;BM18&amp;"x"&amp;CW18,
IF(G47=4,
ROUND(G18*O18,0)&amp;"x"&amp;AY18&amp;"x"&amp;CI18&amp;CHAR(10)&amp;ROUND(G18*V18,0)&amp;"x"&amp;BF18&amp;"x"&amp;CP18&amp;CHAR(10)&amp;ROUND(G18*AC18,0)&amp;"x"&amp;BM18&amp;"x"&amp;CW18&amp;CHAR(10)&amp;ROUND(G18*AJ18,0)&amp;"x"&amp;BT18&amp;"x"&amp;DD18,
ROUND(G18*O18,0)&amp;"x"&amp;AY18&amp;"x"&amp;CI18&amp;CHAR(10)&amp;ROUND(G18*V18,0)&amp;"x"&amp;BF18&amp;"x"&amp;CP18&amp;CHAR(10)&amp;ROUND(G18*AC18,0)&amp;"x"&amp;BM18&amp;"x"&amp;CW18&amp;CHAR(10)&amp;ROUND(G18*AJ18,0)&amp;"x"&amp;BT18&amp;"x"&amp;DD18&amp;CHAR(10)&amp;ROUND(G18*AQ18,0)&amp;"x"&amp;CA18&amp;"x"&amp;DK18
)))))</f>
        <v/>
      </c>
      <c r="H63" s="16" t="str">
        <f aca="false">IF(H47=0,
"",
IF(H47=1,
ROUND(H18*P18,0)&amp;"x"&amp;AZ18&amp;"x"&amp;CJ18,
IF(H47=2,
ROUND(H18*P18,0)&amp;"x"&amp;AZ18&amp;"x"&amp;CJ18&amp;CHAR(10)&amp;ROUND(H18*W18,0)&amp;"x"&amp;BG18&amp;"x"&amp;CQ18,
IF(H47=3,
ROUND(H18*P18,0)&amp;"x"&amp;AZ18&amp;"x"&amp;CJ18&amp;CHAR(10)&amp;ROUND(H18*W18,0)&amp;"x"&amp;BG18&amp;"x"&amp;CQ18&amp;CHAR(10)&amp;ROUND(H18*AD18,0)&amp;"x"&amp;BN18&amp;"x"&amp;CX18,
IF(H47=4,
ROUND(H18*P18,0)&amp;"x"&amp;AZ18&amp;"x"&amp;CJ18&amp;CHAR(10)&amp;ROUND(H18*W18,0)&amp;"x"&amp;BG18&amp;"x"&amp;CQ18&amp;CHAR(10)&amp;ROUND(H18*AD18,0)&amp;"x"&amp;BN18&amp;"x"&amp;CX18&amp;CHAR(10)&amp;ROUND(H18*AK18,0)&amp;"x"&amp;BU18&amp;"x"&amp;DE18,
ROUND(H18*P18,0)&amp;"x"&amp;AZ18&amp;"x"&amp;CJ18&amp;CHAR(10)&amp;ROUND(H18*W18,0)&amp;"x"&amp;BG18&amp;"x"&amp;CQ18&amp;CHAR(10)&amp;ROUND(H18*AD18,0)&amp;"x"&amp;BN18&amp;"x"&amp;CX18&amp;CHAR(10)&amp;ROUND(H18*AK18,0)&amp;"x"&amp;BU18&amp;"x"&amp;DE18&amp;CHAR(10)&amp;ROUND(H18*AR18,0)&amp;"x"&amp;CB18&amp;"x"&amp;DL18
)))))</f>
        <v>207x3x1
242x3x1
276x3x1
328x3x2</v>
      </c>
      <c r="I63" s="16" t="str">
        <f aca="false">IF(I47=0,
"",
IF(I47=1,
ROUND(I18*Q18,0)&amp;"x"&amp;BA18&amp;"x"&amp;CK18,
IF(I47=2,
ROUND(I18*Q18,0)&amp;"x"&amp;BA18&amp;"x"&amp;CK18&amp;CHAR(10)&amp;ROUND(I18*X18,0)&amp;"x"&amp;BH18&amp;"x"&amp;CR18,
IF(I47=3,
ROUND(I18*Q18,0)&amp;"x"&amp;BA18&amp;"x"&amp;CK18&amp;CHAR(10)&amp;ROUND(I18*X18,0)&amp;"x"&amp;BH18&amp;"x"&amp;CR18&amp;CHAR(10)&amp;ROUND(I18*AE18,0)&amp;"x"&amp;BO18&amp;"x"&amp;CY18,
IF(I47=4,
ROUND(I18*Q18,0)&amp;"x"&amp;BA18&amp;"x"&amp;CK18&amp;CHAR(10)&amp;ROUND(I18*X18,0)&amp;"x"&amp;BH18&amp;"x"&amp;CR18&amp;CHAR(10)&amp;ROUND(I18*AE18,0)&amp;"x"&amp;BO18&amp;"x"&amp;CY18&amp;CHAR(10)&amp;ROUND(I18*AL18,0)&amp;"x"&amp;BV18&amp;"x"&amp;DF18,
ROUND(I18*Q18,0)&amp;"x"&amp;BA18&amp;"x"&amp;CK18&amp;CHAR(10)&amp;ROUND(I18*X18,0)&amp;"x"&amp;BH18&amp;"x"&amp;CR18&amp;CHAR(10)&amp;ROUND(I18*AE18,0)&amp;"x"&amp;BO18&amp;"x"&amp;CY18&amp;CHAR(10)&amp;ROUND(I18*AL18,0)&amp;"x"&amp;BV18&amp;"x"&amp;DF18&amp;CHAR(10)&amp;ROUND(I18*AS18,0)&amp;"x"&amp;CC18&amp;"x"&amp;DM18
)))))</f>
        <v/>
      </c>
      <c r="J63" s="16" t="str">
        <f aca="false">IF(J47=0,
"",
IF(J47=1,
ROUND(J18*R18,0)&amp;"x"&amp;BB18&amp;"x"&amp;CL18,
IF(J47=2,
ROUND(J18*R18,0)&amp;"x"&amp;BB18&amp;"x"&amp;CL18&amp;CHAR(10)&amp;ROUND(J18*Y18,0)&amp;"x"&amp;BI18&amp;"x"&amp;CS18,
IF(J47=3,
ROUND(J18*R18,0)&amp;"x"&amp;BB18&amp;"x"&amp;CL18&amp;CHAR(10)&amp;ROUND(J18*Y18,0)&amp;"x"&amp;BI18&amp;"x"&amp;CS18&amp;CHAR(10)&amp;ROUND(J18*AF18,0)&amp;"x"&amp;BP18&amp;"x"&amp;CZ18,
IF(J47=4,
ROUND(J18*R18,0)&amp;"x"&amp;BB18&amp;"x"&amp;CL18&amp;CHAR(10)&amp;ROUND(J18*Y18,0)&amp;"x"&amp;BI18&amp;"x"&amp;CS18&amp;CHAR(10)&amp;ROUND(J18*AF18,0)&amp;"x"&amp;BP18&amp;"x"&amp;CZ18&amp;CHAR(10)&amp;ROUND(J18*AM18,0)&amp;"x"&amp;BW18&amp;"x"&amp;DG18,
ROUND(J18*R18,0)&amp;"x"&amp;BB18&amp;"x"&amp;CL18&amp;CHAR(10)&amp;ROUND(J18*Y18,0)&amp;"x"&amp;BI18&amp;"x"&amp;CS18&amp;CHAR(10)&amp;ROUND(J18*AF18,0)&amp;"x"&amp;BP18&amp;"x"&amp;CZ18&amp;CHAR(10)&amp;ROUND(J18*AM18,0)&amp;"x"&amp;BW18&amp;"x"&amp;DG18&amp;CHAR(10)&amp;ROUND(J18*AT18,0)&amp;"x"&amp;CD18&amp;"x"&amp;DN18
)))))</f>
        <v/>
      </c>
      <c r="K63" s="16" t="str">
        <f aca="false">IF(K47=0,
"",
IF(K47=1,
ROUND(K18*S18,0)&amp;"x"&amp;BC18&amp;"x"&amp;CM18,
IF(K47=2,
ROUND(K18*S18,0)&amp;"x"&amp;BC18&amp;"x"&amp;CM18&amp;CHAR(10)&amp;ROUND(K18*Z18,0)&amp;"x"&amp;BJ18&amp;"x"&amp;CT18,
IF(K47=3,
ROUND(K18*S18,0)&amp;"x"&amp;BC18&amp;"x"&amp;CM18&amp;CHAR(10)&amp;ROUND(K18*Z18,0)&amp;"x"&amp;BJ18&amp;"x"&amp;CT18&amp;CHAR(10)&amp;ROUND(K18*AG18,0)&amp;"x"&amp;BQ18&amp;"x"&amp;DA18,
IF(K47=4,
ROUND(K18*S18,0)&amp;"x"&amp;BC18&amp;"x"&amp;CM18&amp;CHAR(10)&amp;ROUND(K18*Z18,0)&amp;"x"&amp;BJ18&amp;"x"&amp;CT18&amp;CHAR(10)&amp;ROUND(K18*AG18,0)&amp;"x"&amp;BQ18&amp;"x"&amp;DA18&amp;CHAR(10)&amp;ROUND(K18*AN18,0)&amp;"x"&amp;BX18&amp;"x"&amp;DH18,
ROUND(K18*S18,0)&amp;"x"&amp;BC18&amp;"x"&amp;CM18&amp;CHAR(10)&amp;ROUND(K18*Z18,0)&amp;"x"&amp;BJ18&amp;"x"&amp;CT18&amp;CHAR(10)&amp;ROUND(K18*AG18,0)&amp;"x"&amp;BQ18&amp;"x"&amp;DA18&amp;CHAR(10)&amp;ROUND(K18*AN18,0)&amp;"x"&amp;BX18&amp;"x"&amp;DH18&amp;CHAR(10)&amp;ROUND(K18*AU18,0)&amp;"x"&amp;CE18&amp;"x"&amp;DO18
)))))</f>
        <v>224x3x1
259x3x1
293x3x1
328x3x4</v>
      </c>
      <c r="L63" s="16" t="str">
        <f aca="false">IF(L47=0,
"",
IF(L47=1,
ROUND(L18*T18,0)&amp;"x"&amp;BD18&amp;"x"&amp;CN18,
IF(L47=2,
ROUND(L18*T18,0)&amp;"x"&amp;BD18&amp;"x"&amp;CN18&amp;CHAR(10)&amp;ROUND(L18*AA18,0)&amp;"x"&amp;BK18&amp;"x"&amp;CU18,
IF(L47=3,
ROUND(L18*T18,0)&amp;"x"&amp;BD18&amp;"x"&amp;CN18&amp;CHAR(10)&amp;ROUND(L18*AA18,0)&amp;"x"&amp;BK18&amp;"x"&amp;CU18&amp;CHAR(10)&amp;ROUND(L18*AH18,0)&amp;"x"&amp;BR18&amp;"x"&amp;DB18,
IF(L47=4,
ROUND(L18*T18,0)&amp;"x"&amp;BD18&amp;"x"&amp;CN18&amp;CHAR(10)&amp;ROUND(L18*AA18,0)&amp;"x"&amp;BK18&amp;"x"&amp;CU18&amp;CHAR(10)&amp;ROUND(L18*AH18,0)&amp;"x"&amp;BR18&amp;"x"&amp;DB18&amp;CHAR(10)&amp;ROUND(L18*AO18,0)&amp;"x"&amp;BY18&amp;"x"&amp;DI18,
ROUND(L18*T18,0)&amp;"x"&amp;BD18&amp;"x"&amp;CN18&amp;CHAR(10)&amp;ROUND(L18*AA18,0)&amp;"x"&amp;BK18&amp;"x"&amp;CU18&amp;CHAR(10)&amp;ROUND(L18*AH18,0)&amp;"x"&amp;BR18&amp;"x"&amp;DB18&amp;CHAR(10)&amp;ROUND(L18*AO18,0)&amp;"x"&amp;BY18&amp;"x"&amp;DI18&amp;CHAR(10)&amp;ROUND(L18*AV18,0)&amp;"x"&amp;CF18&amp;"x"&amp;DP18
)))))</f>
        <v/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customFormat="false" ht="35.05" hidden="false" customHeight="false" outlineLevel="0" collapsed="false">
      <c r="A64" s="1" t="n">
        <f aca="false">A63+7</f>
        <v>43990</v>
      </c>
      <c r="B64" s="1" t="n">
        <f aca="false">A64+6</f>
        <v>43996</v>
      </c>
      <c r="C64" s="14" t="str">
        <f aca="false">TEXT(A64,"MM/DD")&amp;" ~ "&amp;TEXT(B64,"MM/DD")</f>
        <v>06/08 ~ 06/14</v>
      </c>
      <c r="D64" s="15" t="s">
        <v>21</v>
      </c>
      <c r="E64" s="15" t="n">
        <f aca="false">E19</f>
        <v>12</v>
      </c>
      <c r="F64" s="16" t="str">
        <f aca="false">IF(F48=0,
"",
IF(F48=1,
ROUND(F19*N19,0)&amp;"x"&amp;AX19&amp;"x"&amp;CH19,
IF(F48=2,
ROUND(F19*N19,0)&amp;"x"&amp;AX19&amp;"x"&amp;CH19&amp;CHAR(10)&amp;ROUND(F19*U19,0)&amp;"x"&amp;BE19&amp;"x"&amp;CO19,
IF(F48=3,
ROUND(F19*N19,0)&amp;"x"&amp;AX19&amp;"x"&amp;CH19&amp;CHAR(10)&amp;ROUND(F19*U19,0)&amp;"x"&amp;BE19&amp;"x"&amp;CO19&amp;CHAR(10)&amp;ROUND(F19*AB19,0)&amp;"x"&amp;BL19&amp;"x"&amp;CV19,
IF(F48=4,
ROUND(F19*N19,0)&amp;"x"&amp;AX19&amp;"x"&amp;CH19&amp;CHAR(10)&amp;ROUND(F19*U19,0)&amp;"x"&amp;BE19&amp;"x"&amp;CO19&amp;CHAR(10)&amp;ROUND(F19*AB19,0)&amp;"x"&amp;BL19&amp;"x"&amp;CV19&amp;CHAR(10)&amp;ROUND(F19*AI19,0)&amp;"x"&amp;BS19&amp;"x"&amp;DC19,
ROUND(F19*N19,0)&amp;"x"&amp;AX19&amp;"x"&amp;CH19&amp;CHAR(10)&amp;ROUND(F19*U19,0)&amp;"x"&amp;BE19&amp;"x"&amp;CO19&amp;CHAR(10)&amp;ROUND(F19*AB19,0)&amp;"x"&amp;BL19&amp;"x"&amp;CV19&amp;CHAR(10)&amp;ROUND(F19*AI19,0)&amp;"x"&amp;BS19&amp;"x"&amp;DC19&amp;CHAR(10)&amp;ROUND(F19*AP19,0)&amp;"x"&amp;BZ19&amp;"x"&amp;DJ19
)))))</f>
        <v>242x3x1
276x3x1
311x5x5</v>
      </c>
      <c r="G64" s="16" t="str">
        <f aca="false">IF(G48=0,
"",
IF(G48=1,
ROUND(G19*O19,0)&amp;"x"&amp;AY19&amp;"x"&amp;CI19,
IF(G48=2,
ROUND(G19*O19,0)&amp;"x"&amp;AY19&amp;"x"&amp;CI19&amp;CHAR(10)&amp;ROUND(G19*V19,0)&amp;"x"&amp;BF19&amp;"x"&amp;CP19,
IF(G48=3,
ROUND(G19*O19,0)&amp;"x"&amp;AY19&amp;"x"&amp;CI19&amp;CHAR(10)&amp;ROUND(G19*V19,0)&amp;"x"&amp;BF19&amp;"x"&amp;CP19&amp;CHAR(10)&amp;ROUND(G19*AC19,0)&amp;"x"&amp;BM19&amp;"x"&amp;CW19,
IF(G48=4,
ROUND(G19*O19,0)&amp;"x"&amp;AY19&amp;"x"&amp;CI19&amp;CHAR(10)&amp;ROUND(G19*V19,0)&amp;"x"&amp;BF19&amp;"x"&amp;CP19&amp;CHAR(10)&amp;ROUND(G19*AC19,0)&amp;"x"&amp;BM19&amp;"x"&amp;CW19&amp;CHAR(10)&amp;ROUND(G19*AJ19,0)&amp;"x"&amp;BT19&amp;"x"&amp;DD19,
ROUND(G19*O19,0)&amp;"x"&amp;AY19&amp;"x"&amp;CI19&amp;CHAR(10)&amp;ROUND(G19*V19,0)&amp;"x"&amp;BF19&amp;"x"&amp;CP19&amp;CHAR(10)&amp;ROUND(G19*AC19,0)&amp;"x"&amp;BM19&amp;"x"&amp;CW19&amp;CHAR(10)&amp;ROUND(G19*AJ19,0)&amp;"x"&amp;BT19&amp;"x"&amp;DD19&amp;CHAR(10)&amp;ROUND(G19*AQ19,0)&amp;"x"&amp;CA19&amp;"x"&amp;DK19
)))))</f>
        <v/>
      </c>
      <c r="H64" s="16" t="str">
        <f aca="false">IF(H48=0,
"",
IF(H48=1,
ROUND(H19*P19,0)&amp;"x"&amp;AZ19&amp;"x"&amp;CJ19,
IF(H48=2,
ROUND(H19*P19,0)&amp;"x"&amp;AZ19&amp;"x"&amp;CJ19&amp;CHAR(10)&amp;ROUND(H19*W19,0)&amp;"x"&amp;BG19&amp;"x"&amp;CQ19,
IF(H48=3,
ROUND(H19*P19,0)&amp;"x"&amp;AZ19&amp;"x"&amp;CJ19&amp;CHAR(10)&amp;ROUND(H19*W19,0)&amp;"x"&amp;BG19&amp;"x"&amp;CQ19&amp;CHAR(10)&amp;ROUND(H19*AD19,0)&amp;"x"&amp;BN19&amp;"x"&amp;CX19,
IF(H48=4,
ROUND(H19*P19,0)&amp;"x"&amp;AZ19&amp;"x"&amp;CJ19&amp;CHAR(10)&amp;ROUND(H19*W19,0)&amp;"x"&amp;BG19&amp;"x"&amp;CQ19&amp;CHAR(10)&amp;ROUND(H19*AD19,0)&amp;"x"&amp;BN19&amp;"x"&amp;CX19&amp;CHAR(10)&amp;ROUND(H19*AK19,0)&amp;"x"&amp;BU19&amp;"x"&amp;DE19,
ROUND(H19*P19,0)&amp;"x"&amp;AZ19&amp;"x"&amp;CJ19&amp;CHAR(10)&amp;ROUND(H19*W19,0)&amp;"x"&amp;BG19&amp;"x"&amp;CQ19&amp;CHAR(10)&amp;ROUND(H19*AD19,0)&amp;"x"&amp;BN19&amp;"x"&amp;CX19&amp;CHAR(10)&amp;ROUND(H19*AK19,0)&amp;"x"&amp;BU19&amp;"x"&amp;DE19&amp;CHAR(10)&amp;ROUND(H19*AR19,0)&amp;"x"&amp;CB19&amp;"x"&amp;DL19
)))))</f>
        <v>242x3x1
276x3x1
328x3x4</v>
      </c>
      <c r="I64" s="16" t="str">
        <f aca="false">IF(I48=0,
"",
IF(I48=1,
ROUND(I19*Q19,0)&amp;"x"&amp;BA19&amp;"x"&amp;CK19,
IF(I48=2,
ROUND(I19*Q19,0)&amp;"x"&amp;BA19&amp;"x"&amp;CK19&amp;CHAR(10)&amp;ROUND(I19*X19,0)&amp;"x"&amp;BH19&amp;"x"&amp;CR19,
IF(I48=3,
ROUND(I19*Q19,0)&amp;"x"&amp;BA19&amp;"x"&amp;CK19&amp;CHAR(10)&amp;ROUND(I19*X19,0)&amp;"x"&amp;BH19&amp;"x"&amp;CR19&amp;CHAR(10)&amp;ROUND(I19*AE19,0)&amp;"x"&amp;BO19&amp;"x"&amp;CY19,
IF(I48=4,
ROUND(I19*Q19,0)&amp;"x"&amp;BA19&amp;"x"&amp;CK19&amp;CHAR(10)&amp;ROUND(I19*X19,0)&amp;"x"&amp;BH19&amp;"x"&amp;CR19&amp;CHAR(10)&amp;ROUND(I19*AE19,0)&amp;"x"&amp;BO19&amp;"x"&amp;CY19&amp;CHAR(10)&amp;ROUND(I19*AL19,0)&amp;"x"&amp;BV19&amp;"x"&amp;DF19,
ROUND(I19*Q19,0)&amp;"x"&amp;BA19&amp;"x"&amp;CK19&amp;CHAR(10)&amp;ROUND(I19*X19,0)&amp;"x"&amp;BH19&amp;"x"&amp;CR19&amp;CHAR(10)&amp;ROUND(I19*AE19,0)&amp;"x"&amp;BO19&amp;"x"&amp;CY19&amp;CHAR(10)&amp;ROUND(I19*AL19,0)&amp;"x"&amp;BV19&amp;"x"&amp;DF19&amp;CHAR(10)&amp;ROUND(I19*AS19,0)&amp;"x"&amp;CC19&amp;"x"&amp;DM19
)))))</f>
        <v/>
      </c>
      <c r="J64" s="16" t="str">
        <f aca="false">IF(J48=0,
"",
IF(J48=1,
ROUND(J19*R19,0)&amp;"x"&amp;BB19&amp;"x"&amp;CL19,
IF(J48=2,
ROUND(J19*R19,0)&amp;"x"&amp;BB19&amp;"x"&amp;CL19&amp;CHAR(10)&amp;ROUND(J19*Y19,0)&amp;"x"&amp;BI19&amp;"x"&amp;CS19,
IF(J48=3,
ROUND(J19*R19,0)&amp;"x"&amp;BB19&amp;"x"&amp;CL19&amp;CHAR(10)&amp;ROUND(J19*Y19,0)&amp;"x"&amp;BI19&amp;"x"&amp;CS19&amp;CHAR(10)&amp;ROUND(J19*AF19,0)&amp;"x"&amp;BP19&amp;"x"&amp;CZ19,
IF(J48=4,
ROUND(J19*R19,0)&amp;"x"&amp;BB19&amp;"x"&amp;CL19&amp;CHAR(10)&amp;ROUND(J19*Y19,0)&amp;"x"&amp;BI19&amp;"x"&amp;CS19&amp;CHAR(10)&amp;ROUND(J19*AF19,0)&amp;"x"&amp;BP19&amp;"x"&amp;CZ19&amp;CHAR(10)&amp;ROUND(J19*AM19,0)&amp;"x"&amp;BW19&amp;"x"&amp;DG19,
ROUND(J19*R19,0)&amp;"x"&amp;BB19&amp;"x"&amp;CL19&amp;CHAR(10)&amp;ROUND(J19*Y19,0)&amp;"x"&amp;BI19&amp;"x"&amp;CS19&amp;CHAR(10)&amp;ROUND(J19*AF19,0)&amp;"x"&amp;BP19&amp;"x"&amp;CZ19&amp;CHAR(10)&amp;ROUND(J19*AM19,0)&amp;"x"&amp;BW19&amp;"x"&amp;DG19&amp;CHAR(10)&amp;ROUND(J19*AT19,0)&amp;"x"&amp;CD19&amp;"x"&amp;DN19
)))))</f>
        <v/>
      </c>
      <c r="K64" s="16" t="str">
        <f aca="false">IF(K48=0,
"",
IF(K48=1,
ROUND(K19*S19,0)&amp;"x"&amp;BC19&amp;"x"&amp;CM19,
IF(K48=2,
ROUND(K19*S19,0)&amp;"x"&amp;BC19&amp;"x"&amp;CM19&amp;CHAR(10)&amp;ROUND(K19*Z19,0)&amp;"x"&amp;BJ19&amp;"x"&amp;CT19,
IF(K48=3,
ROUND(K19*S19,0)&amp;"x"&amp;BC19&amp;"x"&amp;CM19&amp;CHAR(10)&amp;ROUND(K19*Z19,0)&amp;"x"&amp;BJ19&amp;"x"&amp;CT19&amp;CHAR(10)&amp;ROUND(K19*AG19,0)&amp;"x"&amp;BQ19&amp;"x"&amp;DA19,
IF(K48=4,
ROUND(K19*S19,0)&amp;"x"&amp;BC19&amp;"x"&amp;CM19&amp;CHAR(10)&amp;ROUND(K19*Z19,0)&amp;"x"&amp;BJ19&amp;"x"&amp;CT19&amp;CHAR(10)&amp;ROUND(K19*AG19,0)&amp;"x"&amp;BQ19&amp;"x"&amp;DA19&amp;CHAR(10)&amp;ROUND(K19*AN19,0)&amp;"x"&amp;BX19&amp;"x"&amp;DH19,
ROUND(K19*S19,0)&amp;"x"&amp;BC19&amp;"x"&amp;CM19&amp;CHAR(10)&amp;ROUND(K19*Z19,0)&amp;"x"&amp;BJ19&amp;"x"&amp;CT19&amp;CHAR(10)&amp;ROUND(K19*AG19,0)&amp;"x"&amp;BQ19&amp;"x"&amp;DA19&amp;CHAR(10)&amp;ROUND(K19*AN19,0)&amp;"x"&amp;BX19&amp;"x"&amp;DH19&amp;CHAR(10)&amp;ROUND(K19*AU19,0)&amp;"x"&amp;CE19&amp;"x"&amp;DO19
)))))</f>
        <v>259x3x1
311x4x1
328x4x3</v>
      </c>
      <c r="L64" s="16" t="str">
        <f aca="false">IF(L48=0,
"",
IF(L48=1,
ROUND(L19*T19,0)&amp;"x"&amp;BD19&amp;"x"&amp;CN19,
IF(L48=2,
ROUND(L19*T19,0)&amp;"x"&amp;BD19&amp;"x"&amp;CN19&amp;CHAR(10)&amp;ROUND(L19*AA19,0)&amp;"x"&amp;BK19&amp;"x"&amp;CU19,
IF(L48=3,
ROUND(L19*T19,0)&amp;"x"&amp;BD19&amp;"x"&amp;CN19&amp;CHAR(10)&amp;ROUND(L19*AA19,0)&amp;"x"&amp;BK19&amp;"x"&amp;CU19&amp;CHAR(10)&amp;ROUND(L19*AH19,0)&amp;"x"&amp;BR19&amp;"x"&amp;DB19,
IF(L48=4,
ROUND(L19*T19,0)&amp;"x"&amp;BD19&amp;"x"&amp;CN19&amp;CHAR(10)&amp;ROUND(L19*AA19,0)&amp;"x"&amp;BK19&amp;"x"&amp;CU19&amp;CHAR(10)&amp;ROUND(L19*AH19,0)&amp;"x"&amp;BR19&amp;"x"&amp;DB19&amp;CHAR(10)&amp;ROUND(L19*AO19,0)&amp;"x"&amp;BY19&amp;"x"&amp;DI19,
ROUND(L19*T19,0)&amp;"x"&amp;BD19&amp;"x"&amp;CN19&amp;CHAR(10)&amp;ROUND(L19*AA19,0)&amp;"x"&amp;BK19&amp;"x"&amp;CU19&amp;CHAR(10)&amp;ROUND(L19*AH19,0)&amp;"x"&amp;BR19&amp;"x"&amp;DB19&amp;CHAR(10)&amp;ROUND(L19*AO19,0)&amp;"x"&amp;BY19&amp;"x"&amp;DI19&amp;CHAR(10)&amp;ROUND(L19*AV19,0)&amp;"x"&amp;CF19&amp;"x"&amp;DP19
)))))</f>
        <v/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customFormat="false" ht="23.85" hidden="false" customHeight="false" outlineLevel="0" collapsed="false">
      <c r="A65" s="1" t="n">
        <f aca="false">A64+7</f>
        <v>43997</v>
      </c>
      <c r="B65" s="1" t="n">
        <f aca="false">A65+6</f>
        <v>44003</v>
      </c>
      <c r="C65" s="14" t="str">
        <f aca="false">TEXT(A65,"MM/DD")&amp;" ~ "&amp;TEXT(B65,"MM/DD")</f>
        <v>06/15 ~ 06/21</v>
      </c>
      <c r="D65" s="15" t="s">
        <v>22</v>
      </c>
      <c r="E65" s="15" t="n">
        <f aca="false">E20</f>
        <v>13</v>
      </c>
      <c r="F65" s="16" t="str">
        <f aca="false">IF(F49=0,
"",
IF(F49=1,
ROUND(F20*N20,0)&amp;"x"&amp;AX20&amp;"x"&amp;CH20,
IF(F49=2,
ROUND(F20*N20,0)&amp;"x"&amp;AX20&amp;"x"&amp;CH20&amp;CHAR(10)&amp;ROUND(F20*U20,0)&amp;"x"&amp;BE20&amp;"x"&amp;CO20,
IF(F49=3,
ROUND(F20*N20,0)&amp;"x"&amp;AX20&amp;"x"&amp;CH20&amp;CHAR(10)&amp;ROUND(F20*U20,0)&amp;"x"&amp;BE20&amp;"x"&amp;CO20&amp;CHAR(10)&amp;ROUND(F20*AB20,0)&amp;"x"&amp;BL20&amp;"x"&amp;CV20,
IF(F49=4,
ROUND(F20*N20,0)&amp;"x"&amp;AX20&amp;"x"&amp;CH20&amp;CHAR(10)&amp;ROUND(F20*U20,0)&amp;"x"&amp;BE20&amp;"x"&amp;CO20&amp;CHAR(10)&amp;ROUND(F20*AB20,0)&amp;"x"&amp;BL20&amp;"x"&amp;CV20&amp;CHAR(10)&amp;ROUND(F20*AI20,0)&amp;"x"&amp;BS20&amp;"x"&amp;DC20,
ROUND(F20*N20,0)&amp;"x"&amp;AX20&amp;"x"&amp;CH20&amp;CHAR(10)&amp;ROUND(F20*U20,0)&amp;"x"&amp;BE20&amp;"x"&amp;CO20&amp;CHAR(10)&amp;ROUND(F20*AB20,0)&amp;"x"&amp;BL20&amp;"x"&amp;CV20&amp;CHAR(10)&amp;ROUND(F20*AI20,0)&amp;"x"&amp;BS20&amp;"x"&amp;DC20&amp;CHAR(10)&amp;ROUND(F20*AP20,0)&amp;"x"&amp;BZ20&amp;"x"&amp;DJ20
)))))</f>
        <v>242x3x1
276x3x1</v>
      </c>
      <c r="G65" s="16" t="str">
        <f aca="false">IF(G49=0,
"",
IF(G49=1,
ROUND(G20*O20,0)&amp;"x"&amp;AY20&amp;"x"&amp;CI20,
IF(G49=2,
ROUND(G20*O20,0)&amp;"x"&amp;AY20&amp;"x"&amp;CI20&amp;CHAR(10)&amp;ROUND(G20*V20,0)&amp;"x"&amp;BF20&amp;"x"&amp;CP20,
IF(G49=3,
ROUND(G20*O20,0)&amp;"x"&amp;AY20&amp;"x"&amp;CI20&amp;CHAR(10)&amp;ROUND(G20*V20,0)&amp;"x"&amp;BF20&amp;"x"&amp;CP20&amp;CHAR(10)&amp;ROUND(G20*AC20,0)&amp;"x"&amp;BM20&amp;"x"&amp;CW20,
IF(G49=4,
ROUND(G20*O20,0)&amp;"x"&amp;AY20&amp;"x"&amp;CI20&amp;CHAR(10)&amp;ROUND(G20*V20,0)&amp;"x"&amp;BF20&amp;"x"&amp;CP20&amp;CHAR(10)&amp;ROUND(G20*AC20,0)&amp;"x"&amp;BM20&amp;"x"&amp;CW20&amp;CHAR(10)&amp;ROUND(G20*AJ20,0)&amp;"x"&amp;BT20&amp;"x"&amp;DD20,
ROUND(G20*O20,0)&amp;"x"&amp;AY20&amp;"x"&amp;CI20&amp;CHAR(10)&amp;ROUND(G20*V20,0)&amp;"x"&amp;BF20&amp;"x"&amp;CP20&amp;CHAR(10)&amp;ROUND(G20*AC20,0)&amp;"x"&amp;BM20&amp;"x"&amp;CW20&amp;CHAR(10)&amp;ROUND(G20*AJ20,0)&amp;"x"&amp;BT20&amp;"x"&amp;DD20&amp;CHAR(10)&amp;ROUND(G20*AQ20,0)&amp;"x"&amp;CA20&amp;"x"&amp;DK20
)))))</f>
        <v/>
      </c>
      <c r="H65" s="16" t="str">
        <f aca="false">IF(H49=0,
"",
IF(H49=1,
ROUND(H20*P20,0)&amp;"x"&amp;AZ20&amp;"x"&amp;CJ20,
IF(H49=2,
ROUND(H20*P20,0)&amp;"x"&amp;AZ20&amp;"x"&amp;CJ20&amp;CHAR(10)&amp;ROUND(H20*W20,0)&amp;"x"&amp;BG20&amp;"x"&amp;CQ20,
IF(H49=3,
ROUND(H20*P20,0)&amp;"x"&amp;AZ20&amp;"x"&amp;CJ20&amp;CHAR(10)&amp;ROUND(H20*W20,0)&amp;"x"&amp;BG20&amp;"x"&amp;CQ20&amp;CHAR(10)&amp;ROUND(H20*AD20,0)&amp;"x"&amp;BN20&amp;"x"&amp;CX20,
IF(H49=4,
ROUND(H20*P20,0)&amp;"x"&amp;AZ20&amp;"x"&amp;CJ20&amp;CHAR(10)&amp;ROUND(H20*W20,0)&amp;"x"&amp;BG20&amp;"x"&amp;CQ20&amp;CHAR(10)&amp;ROUND(H20*AD20,0)&amp;"x"&amp;BN20&amp;"x"&amp;CX20&amp;CHAR(10)&amp;ROUND(H20*AK20,0)&amp;"x"&amp;BU20&amp;"x"&amp;DE20,
ROUND(H20*P20,0)&amp;"x"&amp;AZ20&amp;"x"&amp;CJ20&amp;CHAR(10)&amp;ROUND(H20*W20,0)&amp;"x"&amp;BG20&amp;"x"&amp;CQ20&amp;CHAR(10)&amp;ROUND(H20*AD20,0)&amp;"x"&amp;BN20&amp;"x"&amp;CX20&amp;CHAR(10)&amp;ROUND(H20*AK20,0)&amp;"x"&amp;BU20&amp;"x"&amp;DE20&amp;CHAR(10)&amp;ROUND(H20*AR20,0)&amp;"x"&amp;CB20&amp;"x"&amp;DL20
)))))</f>
        <v>259x4x1
293x4x4</v>
      </c>
      <c r="I65" s="16" t="str">
        <f aca="false">IF(I49=0,
"",
IF(I49=1,
ROUND(I20*Q20,0)&amp;"x"&amp;BA20&amp;"x"&amp;CK20,
IF(I49=2,
ROUND(I20*Q20,0)&amp;"x"&amp;BA20&amp;"x"&amp;CK20&amp;CHAR(10)&amp;ROUND(I20*X20,0)&amp;"x"&amp;BH20&amp;"x"&amp;CR20,
IF(I49=3,
ROUND(I20*Q20,0)&amp;"x"&amp;BA20&amp;"x"&amp;CK20&amp;CHAR(10)&amp;ROUND(I20*X20,0)&amp;"x"&amp;BH20&amp;"x"&amp;CR20&amp;CHAR(10)&amp;ROUND(I20*AE20,0)&amp;"x"&amp;BO20&amp;"x"&amp;CY20,
IF(I49=4,
ROUND(I20*Q20,0)&amp;"x"&amp;BA20&amp;"x"&amp;CK20&amp;CHAR(10)&amp;ROUND(I20*X20,0)&amp;"x"&amp;BH20&amp;"x"&amp;CR20&amp;CHAR(10)&amp;ROUND(I20*AE20,0)&amp;"x"&amp;BO20&amp;"x"&amp;CY20&amp;CHAR(10)&amp;ROUND(I20*AL20,0)&amp;"x"&amp;BV20&amp;"x"&amp;DF20,
ROUND(I20*Q20,0)&amp;"x"&amp;BA20&amp;"x"&amp;CK20&amp;CHAR(10)&amp;ROUND(I20*X20,0)&amp;"x"&amp;BH20&amp;"x"&amp;CR20&amp;CHAR(10)&amp;ROUND(I20*AE20,0)&amp;"x"&amp;BO20&amp;"x"&amp;CY20&amp;CHAR(10)&amp;ROUND(I20*AL20,0)&amp;"x"&amp;BV20&amp;"x"&amp;DF20&amp;CHAR(10)&amp;ROUND(I20*AS20,0)&amp;"x"&amp;CC20&amp;"x"&amp;DM20
)))))</f>
        <v/>
      </c>
      <c r="J65" s="16" t="str">
        <f aca="false">IF(J49=0,
"",
IF(J49=1,
ROUND(J20*R20,0)&amp;"x"&amp;BB20&amp;"x"&amp;CL20,
IF(J49=2,
ROUND(J20*R20,0)&amp;"x"&amp;BB20&amp;"x"&amp;CL20&amp;CHAR(10)&amp;ROUND(J20*Y20,0)&amp;"x"&amp;BI20&amp;"x"&amp;CS20,
IF(J49=3,
ROUND(J20*R20,0)&amp;"x"&amp;BB20&amp;"x"&amp;CL20&amp;CHAR(10)&amp;ROUND(J20*Y20,0)&amp;"x"&amp;BI20&amp;"x"&amp;CS20&amp;CHAR(10)&amp;ROUND(J20*AF20,0)&amp;"x"&amp;BP20&amp;"x"&amp;CZ20,
IF(J49=4,
ROUND(J20*R20,0)&amp;"x"&amp;BB20&amp;"x"&amp;CL20&amp;CHAR(10)&amp;ROUND(J20*Y20,0)&amp;"x"&amp;BI20&amp;"x"&amp;CS20&amp;CHAR(10)&amp;ROUND(J20*AF20,0)&amp;"x"&amp;BP20&amp;"x"&amp;CZ20&amp;CHAR(10)&amp;ROUND(J20*AM20,0)&amp;"x"&amp;BW20&amp;"x"&amp;DG20,
ROUND(J20*R20,0)&amp;"x"&amp;BB20&amp;"x"&amp;CL20&amp;CHAR(10)&amp;ROUND(J20*Y20,0)&amp;"x"&amp;BI20&amp;"x"&amp;CS20&amp;CHAR(10)&amp;ROUND(J20*AF20,0)&amp;"x"&amp;BP20&amp;"x"&amp;CZ20&amp;CHAR(10)&amp;ROUND(J20*AM20,0)&amp;"x"&amp;BW20&amp;"x"&amp;DG20&amp;CHAR(10)&amp;ROUND(J20*AT20,0)&amp;"x"&amp;CD20&amp;"x"&amp;DN20
)))))</f>
        <v/>
      </c>
      <c r="K65" s="16" t="str">
        <f aca="false">IF(K49=0,
"",
IF(K49=1,
ROUND(K20*S20,0)&amp;"x"&amp;BC20&amp;"x"&amp;CM20,
IF(K49=2,
ROUND(K20*S20,0)&amp;"x"&amp;BC20&amp;"x"&amp;CM20&amp;CHAR(10)&amp;ROUND(K20*Z20,0)&amp;"x"&amp;BJ20&amp;"x"&amp;CT20,
IF(K49=3,
ROUND(K20*S20,0)&amp;"x"&amp;BC20&amp;"x"&amp;CM20&amp;CHAR(10)&amp;ROUND(K20*Z20,0)&amp;"x"&amp;BJ20&amp;"x"&amp;CT20&amp;CHAR(10)&amp;ROUND(K20*AG20,0)&amp;"x"&amp;BQ20&amp;"x"&amp;DA20,
IF(K49=4,
ROUND(K20*S20,0)&amp;"x"&amp;BC20&amp;"x"&amp;CM20&amp;CHAR(10)&amp;ROUND(K20*Z20,0)&amp;"x"&amp;BJ20&amp;"x"&amp;CT20&amp;CHAR(10)&amp;ROUND(K20*AG20,0)&amp;"x"&amp;BQ20&amp;"x"&amp;DA20&amp;CHAR(10)&amp;ROUND(K20*AN20,0)&amp;"x"&amp;BX20&amp;"x"&amp;DH20,
ROUND(K20*S20,0)&amp;"x"&amp;BC20&amp;"x"&amp;CM20&amp;CHAR(10)&amp;ROUND(K20*Z20,0)&amp;"x"&amp;BJ20&amp;"x"&amp;CT20&amp;CHAR(10)&amp;ROUND(K20*AG20,0)&amp;"x"&amp;BQ20&amp;"x"&amp;DA20&amp;CHAR(10)&amp;ROUND(K20*AN20,0)&amp;"x"&amp;BX20&amp;"x"&amp;DH20&amp;CHAR(10)&amp;ROUND(K20*AU20,0)&amp;"x"&amp;CE20&amp;"x"&amp;DO20
)))))</f>
        <v/>
      </c>
      <c r="L65" s="18" t="s">
        <v>29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customFormat="false" ht="15" hidden="false" customHeight="false" outlineLevel="0" collapsed="false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customFormat="false" ht="15" hidden="false" customHeight="false" outlineLevel="0" collapsed="false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customFormat="false" ht="15" hidden="false" customHeight="false" outlineLevel="0" collapsed="false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customFormat="false" ht="15" hidden="false" customHeight="false" outlineLevel="0" collapsed="false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customFormat="false" ht="15" hidden="false" customHeight="false" outlineLevel="0" collapsed="false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customFormat="false" ht="15" hidden="false" customHeight="false" outlineLevel="0" collapsed="false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customFormat="false" ht="15" hidden="false" customHeight="false" outlineLevel="0" collapsed="false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customFormat="false" ht="15" hidden="false" customHeight="false" outlineLevel="0" collapsed="false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customFormat="false" ht="15" hidden="false" customHeight="false" outlineLevel="0" collapsed="false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customFormat="false" ht="15" hidden="false" customHeight="false" outlineLevel="0" collapsed="false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customFormat="false" ht="15" hidden="false" customHeight="false" outlineLevel="0" collapsed="false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customFormat="false" ht="15" hidden="false" customHeight="false" outlineLevel="0" collapsed="false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customFormat="false" ht="15" hidden="false" customHeight="false" outlineLevel="0" collapsed="false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customFormat="false" ht="15" hidden="false" customHeight="false" outlineLevel="0" collapsed="false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customFormat="false" ht="15" hidden="false" customHeight="false" outlineLevel="0" collapsed="false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customFormat="false" ht="15" hidden="false" customHeight="false" outlineLevel="0" collapsed="false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customFormat="false" ht="15" hidden="false" customHeight="false" outlineLevel="0" collapsed="false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customFormat="false" ht="15" hidden="false" customHeight="false" outlineLevel="0" collapsed="false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customFormat="false" ht="15" hidden="false" customHeight="false" outlineLevel="0" collapsed="false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customFormat="false" ht="15" hidden="false" customHeight="false" outlineLevel="0" collapsed="false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customFormat="false" ht="15" hidden="false" customHeight="false" outlineLevel="0" collapsed="false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customFormat="false" ht="15" hidden="false" customHeight="false" outlineLevel="0" collapsed="false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customFormat="false" ht="15" hidden="false" customHeight="false" outlineLevel="0" collapsed="false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customFormat="false" ht="15" hidden="false" customHeight="false" outlineLevel="0" collapsed="false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customFormat="false" ht="15" hidden="false" customHeight="false" outlineLevel="0" collapsed="false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customFormat="false" ht="15" hidden="false" customHeight="false" outlineLevel="0" collapsed="false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customFormat="false" ht="15" hidden="false" customHeight="false" outlineLevel="0" collapsed="false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customFormat="false" ht="15" hidden="false" customHeight="false" outlineLevel="0" collapsed="false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customFormat="false" ht="15" hidden="false" customHeight="false" outlineLevel="0" collapsed="false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customFormat="false" ht="15" hidden="false" customHeight="false" outlineLevel="0" collapsed="false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customFormat="false" ht="15" hidden="false" customHeight="false" outlineLevel="0" collapsed="false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customFormat="false" ht="15" hidden="false" customHeight="false" outlineLevel="0" collapsed="false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customFormat="false" ht="15" hidden="false" customHeight="false" outlineLevel="0" collapsed="false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customFormat="false" ht="15" hidden="false" customHeight="false" outlineLevel="0" collapsed="false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customFormat="false" ht="15" hidden="false" customHeight="false" outlineLevel="0" collapsed="false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customFormat="false" ht="15" hidden="false" customHeight="false" outlineLevel="0" collapsed="false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customFormat="false" ht="15" hidden="false" customHeight="false" outlineLevel="0" collapsed="false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customFormat="false" ht="15" hidden="false" customHeight="false" outlineLevel="0" collapsed="false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customFormat="false" ht="15" hidden="false" customHeight="false" outlineLevel="0" collapsed="false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  <Company>Amazon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2020-01-29T03:43:09Z</dcterms:created>
  <dc:creator>Gross, Matt</dc:creator>
  <dc:description/>
  <dc:language>en-US</dc:language>
  <cp:lastModifiedBy/>
  <dcterms:modified xsi:type="dcterms:W3CDTF">2026-03-17T17:43:06Z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