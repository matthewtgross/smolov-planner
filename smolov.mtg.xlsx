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5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ttgros\Desktop\"/>
    </mc:Choice>
  </mc:AlternateContent>
  <xr:revisionPtr revIDLastSave="0" documentId="8_{6EBD7CB6-B27A-4088-8AF3-267BDC5D72C2}" xr6:coauthVersionLast="36" xr6:coauthVersionMax="36" xr10:uidLastSave="{00000000-0000-0000-0000-000000000000}"/>
  <bookViews>
    <workbookView xWindow="0" yWindow="0" windowWidth="2700" windowHeight="8460" xr2:uid="{F47EDC81-CD9F-4862-9219-9DED2BD4F313}"/>
  </bookViews>
  <sheets>
    <sheet name="2020-01-27" sheetId="2" r:id="rId1"/>
    <sheet name="2020-04-27" sheetId="3" r:id="rId2"/>
    <sheet name="2020-06-26" sheetId="4" r:id="rId3"/>
    <sheet name="2020-09-24" sheetId="5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4" i="2" l="1"/>
  <c r="B55" i="2"/>
  <c r="B56" i="2"/>
  <c r="B57" i="2"/>
  <c r="B58" i="2"/>
  <c r="B59" i="2"/>
  <c r="B60" i="2"/>
  <c r="B61" i="2"/>
  <c r="B62" i="2"/>
  <c r="B63" i="2"/>
  <c r="B64" i="2"/>
  <c r="B65" i="2"/>
  <c r="B53" i="2"/>
  <c r="D5" i="2"/>
  <c r="C53" i="2"/>
  <c r="A55" i="2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54" i="2"/>
  <c r="G8" i="2"/>
  <c r="H8" i="2" s="1"/>
  <c r="I8" i="2" s="1"/>
  <c r="J8" i="2" s="1"/>
  <c r="K8" i="2" s="1"/>
  <c r="L8" i="2" s="1"/>
  <c r="C55" i="2" l="1"/>
  <c r="C54" i="2"/>
  <c r="G65" i="5"/>
  <c r="J64" i="5"/>
  <c r="G64" i="5"/>
  <c r="J63" i="5"/>
  <c r="G63" i="5"/>
  <c r="J62" i="5"/>
  <c r="G62" i="5"/>
  <c r="F62" i="5"/>
  <c r="G61" i="5"/>
  <c r="J60" i="5"/>
  <c r="G59" i="5"/>
  <c r="E59" i="5"/>
  <c r="G58" i="5"/>
  <c r="E57" i="5"/>
  <c r="I55" i="5"/>
  <c r="J54" i="5"/>
  <c r="I54" i="5"/>
  <c r="I53" i="5"/>
  <c r="E53" i="5"/>
  <c r="C53" i="5"/>
  <c r="J49" i="5"/>
  <c r="I49" i="5"/>
  <c r="I65" i="5" s="1"/>
  <c r="H49" i="5"/>
  <c r="H65" i="5" s="1"/>
  <c r="G49" i="5"/>
  <c r="F49" i="5"/>
  <c r="F65" i="5" s="1"/>
  <c r="E49" i="5"/>
  <c r="E65" i="5" s="1"/>
  <c r="D49" i="5"/>
  <c r="D65" i="5" s="1"/>
  <c r="J48" i="5"/>
  <c r="I48" i="5"/>
  <c r="I64" i="5" s="1"/>
  <c r="H48" i="5"/>
  <c r="H64" i="5" s="1"/>
  <c r="G48" i="5"/>
  <c r="F48" i="5"/>
  <c r="F64" i="5" s="1"/>
  <c r="E48" i="5"/>
  <c r="E64" i="5" s="1"/>
  <c r="D48" i="5"/>
  <c r="D64" i="5" s="1"/>
  <c r="J47" i="5"/>
  <c r="I47" i="5"/>
  <c r="I63" i="5" s="1"/>
  <c r="H47" i="5"/>
  <c r="H63" i="5" s="1"/>
  <c r="G47" i="5"/>
  <c r="F47" i="5"/>
  <c r="F63" i="5" s="1"/>
  <c r="E47" i="5"/>
  <c r="E63" i="5" s="1"/>
  <c r="D47" i="5"/>
  <c r="D63" i="5" s="1"/>
  <c r="J46" i="5"/>
  <c r="I46" i="5"/>
  <c r="I62" i="5" s="1"/>
  <c r="H46" i="5"/>
  <c r="H62" i="5" s="1"/>
  <c r="G46" i="5"/>
  <c r="F46" i="5"/>
  <c r="E46" i="5"/>
  <c r="E62" i="5" s="1"/>
  <c r="D46" i="5"/>
  <c r="D62" i="5" s="1"/>
  <c r="J45" i="5"/>
  <c r="J61" i="5" s="1"/>
  <c r="I45" i="5"/>
  <c r="I61" i="5" s="1"/>
  <c r="H45" i="5"/>
  <c r="H61" i="5" s="1"/>
  <c r="G45" i="5"/>
  <c r="F45" i="5"/>
  <c r="F61" i="5" s="1"/>
  <c r="E45" i="5"/>
  <c r="E61" i="5" s="1"/>
  <c r="D45" i="5"/>
  <c r="D61" i="5" s="1"/>
  <c r="J44" i="5"/>
  <c r="I44" i="5"/>
  <c r="I60" i="5" s="1"/>
  <c r="H44" i="5"/>
  <c r="G44" i="5"/>
  <c r="G60" i="5" s="1"/>
  <c r="F44" i="5"/>
  <c r="E44" i="5"/>
  <c r="E60" i="5" s="1"/>
  <c r="D44" i="5"/>
  <c r="J43" i="5"/>
  <c r="J59" i="5" s="1"/>
  <c r="I43" i="5"/>
  <c r="I59" i="5" s="1"/>
  <c r="H43" i="5"/>
  <c r="G43" i="5"/>
  <c r="F43" i="5"/>
  <c r="E43" i="5"/>
  <c r="D43" i="5"/>
  <c r="J42" i="5"/>
  <c r="J58" i="5" s="1"/>
  <c r="I42" i="5"/>
  <c r="I58" i="5" s="1"/>
  <c r="H42" i="5"/>
  <c r="G42" i="5"/>
  <c r="F42" i="5"/>
  <c r="E42" i="5"/>
  <c r="E58" i="5" s="1"/>
  <c r="D42" i="5"/>
  <c r="J41" i="5"/>
  <c r="J57" i="5" s="1"/>
  <c r="I41" i="5"/>
  <c r="H41" i="5"/>
  <c r="G41" i="5"/>
  <c r="G57" i="5" s="1"/>
  <c r="F41" i="5"/>
  <c r="F57" i="5" s="1"/>
  <c r="E41" i="5"/>
  <c r="D41" i="5"/>
  <c r="J40" i="5"/>
  <c r="J56" i="5" s="1"/>
  <c r="I40" i="5"/>
  <c r="I56" i="5" s="1"/>
  <c r="H40" i="5"/>
  <c r="G40" i="5"/>
  <c r="G56" i="5" s="1"/>
  <c r="F40" i="5"/>
  <c r="F56" i="5" s="1"/>
  <c r="E40" i="5"/>
  <c r="E56" i="5" s="1"/>
  <c r="D40" i="5"/>
  <c r="J39" i="5"/>
  <c r="J55" i="5" s="1"/>
  <c r="I39" i="5"/>
  <c r="H39" i="5"/>
  <c r="H55" i="5" s="1"/>
  <c r="G39" i="5"/>
  <c r="G55" i="5" s="1"/>
  <c r="F39" i="5"/>
  <c r="F55" i="5" s="1"/>
  <c r="E39" i="5"/>
  <c r="E55" i="5" s="1"/>
  <c r="D39" i="5"/>
  <c r="D55" i="5" s="1"/>
  <c r="J38" i="5"/>
  <c r="I38" i="5"/>
  <c r="H38" i="5"/>
  <c r="H54" i="5" s="1"/>
  <c r="G38" i="5"/>
  <c r="G54" i="5" s="1"/>
  <c r="F38" i="5"/>
  <c r="F54" i="5" s="1"/>
  <c r="E38" i="5"/>
  <c r="E54" i="5" s="1"/>
  <c r="D38" i="5"/>
  <c r="D54" i="5" s="1"/>
  <c r="J37" i="5"/>
  <c r="J53" i="5" s="1"/>
  <c r="I37" i="5"/>
  <c r="H37" i="5"/>
  <c r="H53" i="5" s="1"/>
  <c r="G37" i="5"/>
  <c r="G53" i="5" s="1"/>
  <c r="F37" i="5"/>
  <c r="F53" i="5" s="1"/>
  <c r="E37" i="5"/>
  <c r="D37" i="5"/>
  <c r="D53" i="5" s="1"/>
  <c r="C37" i="5"/>
  <c r="C24" i="5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C35" i="5" s="1"/>
  <c r="D23" i="5"/>
  <c r="E23" i="5" s="1"/>
  <c r="F23" i="5" s="1"/>
  <c r="G23" i="5" s="1"/>
  <c r="H23" i="5" s="1"/>
  <c r="I23" i="5" s="1"/>
  <c r="J23" i="5" s="1"/>
  <c r="D24" i="5" s="1"/>
  <c r="E24" i="5" s="1"/>
  <c r="F24" i="5" s="1"/>
  <c r="G24" i="5" s="1"/>
  <c r="H24" i="5" s="1"/>
  <c r="I24" i="5" s="1"/>
  <c r="J24" i="5" s="1"/>
  <c r="D25" i="5" s="1"/>
  <c r="E25" i="5" s="1"/>
  <c r="F25" i="5" s="1"/>
  <c r="G25" i="5" s="1"/>
  <c r="H25" i="5" s="1"/>
  <c r="I25" i="5" s="1"/>
  <c r="J25" i="5" s="1"/>
  <c r="D26" i="5" s="1"/>
  <c r="E26" i="5" s="1"/>
  <c r="F26" i="5" s="1"/>
  <c r="G26" i="5" s="1"/>
  <c r="H26" i="5" s="1"/>
  <c r="I26" i="5" s="1"/>
  <c r="J26" i="5" s="1"/>
  <c r="D27" i="5" s="1"/>
  <c r="E27" i="5" s="1"/>
  <c r="F27" i="5" s="1"/>
  <c r="G27" i="5" s="1"/>
  <c r="H27" i="5" s="1"/>
  <c r="I27" i="5" s="1"/>
  <c r="J27" i="5" s="1"/>
  <c r="D28" i="5" s="1"/>
  <c r="E28" i="5" s="1"/>
  <c r="F28" i="5" s="1"/>
  <c r="G28" i="5" s="1"/>
  <c r="H28" i="5" s="1"/>
  <c r="I28" i="5" s="1"/>
  <c r="J28" i="5" s="1"/>
  <c r="D29" i="5" s="1"/>
  <c r="E29" i="5" s="1"/>
  <c r="F29" i="5" s="1"/>
  <c r="G29" i="5" s="1"/>
  <c r="H29" i="5" s="1"/>
  <c r="I29" i="5" s="1"/>
  <c r="J29" i="5" s="1"/>
  <c r="D30" i="5" s="1"/>
  <c r="E30" i="5" s="1"/>
  <c r="F30" i="5" s="1"/>
  <c r="G30" i="5" s="1"/>
  <c r="H30" i="5" s="1"/>
  <c r="I30" i="5" s="1"/>
  <c r="J30" i="5" s="1"/>
  <c r="D31" i="5" s="1"/>
  <c r="E31" i="5" s="1"/>
  <c r="F31" i="5" s="1"/>
  <c r="G31" i="5" s="1"/>
  <c r="H31" i="5" s="1"/>
  <c r="I31" i="5" s="1"/>
  <c r="J31" i="5" s="1"/>
  <c r="D32" i="5" s="1"/>
  <c r="E32" i="5" s="1"/>
  <c r="F32" i="5" s="1"/>
  <c r="G32" i="5" s="1"/>
  <c r="H32" i="5" s="1"/>
  <c r="I32" i="5" s="1"/>
  <c r="J32" i="5" s="1"/>
  <c r="D33" i="5" s="1"/>
  <c r="E33" i="5" s="1"/>
  <c r="F33" i="5" s="1"/>
  <c r="G33" i="5" s="1"/>
  <c r="H33" i="5" s="1"/>
  <c r="I33" i="5" s="1"/>
  <c r="J33" i="5" s="1"/>
  <c r="D34" i="5" s="1"/>
  <c r="E34" i="5" s="1"/>
  <c r="F34" i="5" s="1"/>
  <c r="G34" i="5" s="1"/>
  <c r="H34" i="5" s="1"/>
  <c r="I34" i="5" s="1"/>
  <c r="J34" i="5" s="1"/>
  <c r="D35" i="5" s="1"/>
  <c r="E35" i="5" s="1"/>
  <c r="F35" i="5" s="1"/>
  <c r="G35" i="5" s="1"/>
  <c r="H35" i="5" s="1"/>
  <c r="I35" i="5" s="1"/>
  <c r="J35" i="5" s="1"/>
  <c r="B5" i="5" s="1"/>
  <c r="J12" i="5"/>
  <c r="J13" i="5" s="1"/>
  <c r="J14" i="5" s="1"/>
  <c r="J15" i="5" s="1"/>
  <c r="J11" i="5"/>
  <c r="E11" i="5"/>
  <c r="E12" i="5" s="1"/>
  <c r="E13" i="5" s="1"/>
  <c r="E14" i="5" s="1"/>
  <c r="E15" i="5" s="1"/>
  <c r="J10" i="5"/>
  <c r="I10" i="5"/>
  <c r="I11" i="5" s="1"/>
  <c r="I12" i="5" s="1"/>
  <c r="I13" i="5" s="1"/>
  <c r="I14" i="5" s="1"/>
  <c r="I15" i="5" s="1"/>
  <c r="H10" i="5"/>
  <c r="H11" i="5" s="1"/>
  <c r="H12" i="5" s="1"/>
  <c r="H13" i="5" s="1"/>
  <c r="H14" i="5" s="1"/>
  <c r="H15" i="5" s="1"/>
  <c r="G10" i="5"/>
  <c r="G11" i="5" s="1"/>
  <c r="G12" i="5" s="1"/>
  <c r="G13" i="5" s="1"/>
  <c r="G14" i="5" s="1"/>
  <c r="G15" i="5" s="1"/>
  <c r="F10" i="5"/>
  <c r="F11" i="5" s="1"/>
  <c r="F12" i="5" s="1"/>
  <c r="F13" i="5" s="1"/>
  <c r="F14" i="5" s="1"/>
  <c r="F15" i="5" s="1"/>
  <c r="E10" i="5"/>
  <c r="D10" i="5"/>
  <c r="D11" i="5" s="1"/>
  <c r="D12" i="5" s="1"/>
  <c r="D13" i="5" s="1"/>
  <c r="D14" i="5" s="1"/>
  <c r="D15" i="5" s="1"/>
  <c r="C9" i="5"/>
  <c r="DN7" i="5"/>
  <c r="DM7" i="5"/>
  <c r="DL7" i="5"/>
  <c r="DK7" i="5"/>
  <c r="DJ7" i="5"/>
  <c r="DI7" i="5"/>
  <c r="DH7" i="5"/>
  <c r="DG7" i="5"/>
  <c r="DF7" i="5"/>
  <c r="DE7" i="5"/>
  <c r="DD7" i="5"/>
  <c r="DC7" i="5"/>
  <c r="DB7" i="5"/>
  <c r="DA7" i="5"/>
  <c r="CZ7" i="5"/>
  <c r="CY7" i="5"/>
  <c r="CX7" i="5"/>
  <c r="CW7" i="5"/>
  <c r="CV7" i="5"/>
  <c r="CU7" i="5"/>
  <c r="CT7" i="5"/>
  <c r="CS7" i="5"/>
  <c r="CR7" i="5"/>
  <c r="CQ7" i="5"/>
  <c r="CP7" i="5"/>
  <c r="CO7" i="5"/>
  <c r="CN7" i="5"/>
  <c r="CM7" i="5"/>
  <c r="CL7" i="5"/>
  <c r="CK7" i="5"/>
  <c r="CJ7" i="5"/>
  <c r="CI7" i="5"/>
  <c r="CH7" i="5"/>
  <c r="CG7" i="5"/>
  <c r="CF7" i="5"/>
  <c r="CD7" i="5"/>
  <c r="CC7" i="5"/>
  <c r="CB7" i="5"/>
  <c r="CA7" i="5"/>
  <c r="BZ7" i="5"/>
  <c r="BY7" i="5"/>
  <c r="BX7" i="5"/>
  <c r="BW7" i="5"/>
  <c r="BV7" i="5"/>
  <c r="BU7" i="5"/>
  <c r="BT7" i="5"/>
  <c r="BS7" i="5"/>
  <c r="BR7" i="5"/>
  <c r="BQ7" i="5"/>
  <c r="BP7" i="5"/>
  <c r="BO7" i="5"/>
  <c r="BN7" i="5"/>
  <c r="BM7" i="5"/>
  <c r="BL7" i="5"/>
  <c r="BK7" i="5"/>
  <c r="BJ7" i="5"/>
  <c r="BI7" i="5"/>
  <c r="BH7" i="5"/>
  <c r="BG7" i="5"/>
  <c r="BF7" i="5"/>
  <c r="BE7" i="5"/>
  <c r="BD7" i="5"/>
  <c r="BC7" i="5"/>
  <c r="BB7" i="5"/>
  <c r="BA7" i="5"/>
  <c r="AZ7" i="5"/>
  <c r="AY7" i="5"/>
  <c r="AX7" i="5"/>
  <c r="AW7" i="5"/>
  <c r="AV7" i="5"/>
  <c r="DH6" i="5"/>
  <c r="DA6" i="5"/>
  <c r="CU6" i="5"/>
  <c r="CT6" i="5"/>
  <c r="CM6" i="5"/>
  <c r="CF6" i="5"/>
  <c r="BX6" i="5"/>
  <c r="BQ6" i="5"/>
  <c r="BK6" i="5"/>
  <c r="BJ6" i="5"/>
  <c r="BC6" i="5"/>
  <c r="AV6" i="5"/>
  <c r="AO6" i="5"/>
  <c r="AP6" i="5" s="1"/>
  <c r="AH6" i="5"/>
  <c r="DB6" i="5" s="1"/>
  <c r="AB6" i="5"/>
  <c r="BL6" i="5" s="1"/>
  <c r="AA6" i="5"/>
  <c r="T6" i="5"/>
  <c r="U6" i="5" s="1"/>
  <c r="M6" i="5"/>
  <c r="H65" i="4"/>
  <c r="G65" i="4"/>
  <c r="D65" i="4"/>
  <c r="H64" i="4"/>
  <c r="G64" i="4"/>
  <c r="J63" i="4"/>
  <c r="G63" i="4"/>
  <c r="G62" i="4"/>
  <c r="G61" i="4"/>
  <c r="J60" i="4"/>
  <c r="E60" i="4"/>
  <c r="G59" i="4"/>
  <c r="E59" i="4"/>
  <c r="G58" i="4"/>
  <c r="F53" i="4"/>
  <c r="C53" i="4"/>
  <c r="J49" i="4"/>
  <c r="I49" i="4"/>
  <c r="I65" i="4" s="1"/>
  <c r="H49" i="4"/>
  <c r="G49" i="4"/>
  <c r="F49" i="4"/>
  <c r="F65" i="4" s="1"/>
  <c r="E49" i="4"/>
  <c r="E65" i="4" s="1"/>
  <c r="D49" i="4"/>
  <c r="J48" i="4"/>
  <c r="J64" i="4" s="1"/>
  <c r="I48" i="4"/>
  <c r="I64" i="4" s="1"/>
  <c r="H48" i="4"/>
  <c r="G48" i="4"/>
  <c r="F48" i="4"/>
  <c r="F64" i="4" s="1"/>
  <c r="E48" i="4"/>
  <c r="E64" i="4" s="1"/>
  <c r="D48" i="4"/>
  <c r="D64" i="4" s="1"/>
  <c r="J47" i="4"/>
  <c r="I47" i="4"/>
  <c r="I63" i="4" s="1"/>
  <c r="H47" i="4"/>
  <c r="H63" i="4" s="1"/>
  <c r="G47" i="4"/>
  <c r="F47" i="4"/>
  <c r="F63" i="4" s="1"/>
  <c r="E47" i="4"/>
  <c r="E63" i="4" s="1"/>
  <c r="D47" i="4"/>
  <c r="D63" i="4" s="1"/>
  <c r="J46" i="4"/>
  <c r="J62" i="4" s="1"/>
  <c r="I46" i="4"/>
  <c r="I62" i="4" s="1"/>
  <c r="H46" i="4"/>
  <c r="H62" i="4" s="1"/>
  <c r="G46" i="4"/>
  <c r="F46" i="4"/>
  <c r="F62" i="4" s="1"/>
  <c r="E46" i="4"/>
  <c r="E62" i="4" s="1"/>
  <c r="D46" i="4"/>
  <c r="D62" i="4" s="1"/>
  <c r="J45" i="4"/>
  <c r="J61" i="4" s="1"/>
  <c r="I45" i="4"/>
  <c r="I61" i="4" s="1"/>
  <c r="H45" i="4"/>
  <c r="H61" i="4" s="1"/>
  <c r="G45" i="4"/>
  <c r="F45" i="4"/>
  <c r="F61" i="4" s="1"/>
  <c r="E45" i="4"/>
  <c r="E61" i="4" s="1"/>
  <c r="D45" i="4"/>
  <c r="D61" i="4" s="1"/>
  <c r="J44" i="4"/>
  <c r="I44" i="4"/>
  <c r="I60" i="4" s="1"/>
  <c r="H44" i="4"/>
  <c r="G44" i="4"/>
  <c r="G60" i="4" s="1"/>
  <c r="F44" i="4"/>
  <c r="E44" i="4"/>
  <c r="D44" i="4"/>
  <c r="J43" i="4"/>
  <c r="J59" i="4" s="1"/>
  <c r="I43" i="4"/>
  <c r="I59" i="4" s="1"/>
  <c r="H43" i="4"/>
  <c r="G43" i="4"/>
  <c r="F43" i="4"/>
  <c r="E43" i="4"/>
  <c r="D43" i="4"/>
  <c r="J42" i="4"/>
  <c r="J58" i="4" s="1"/>
  <c r="I42" i="4"/>
  <c r="I58" i="4" s="1"/>
  <c r="H42" i="4"/>
  <c r="G42" i="4"/>
  <c r="F42" i="4"/>
  <c r="E42" i="4"/>
  <c r="E58" i="4" s="1"/>
  <c r="D42" i="4"/>
  <c r="J41" i="4"/>
  <c r="J57" i="4" s="1"/>
  <c r="I41" i="4"/>
  <c r="H41" i="4"/>
  <c r="G41" i="4"/>
  <c r="G57" i="4" s="1"/>
  <c r="F41" i="4"/>
  <c r="E41" i="4"/>
  <c r="E57" i="4" s="1"/>
  <c r="D41" i="4"/>
  <c r="J40" i="4"/>
  <c r="J56" i="4" s="1"/>
  <c r="I40" i="4"/>
  <c r="H40" i="4"/>
  <c r="G40" i="4"/>
  <c r="G56" i="4" s="1"/>
  <c r="F40" i="4"/>
  <c r="E40" i="4"/>
  <c r="E56" i="4" s="1"/>
  <c r="D40" i="4"/>
  <c r="J39" i="4"/>
  <c r="J55" i="4" s="1"/>
  <c r="I39" i="4"/>
  <c r="H39" i="4"/>
  <c r="G39" i="4"/>
  <c r="G55" i="4" s="1"/>
  <c r="F39" i="4"/>
  <c r="E39" i="4"/>
  <c r="E55" i="4" s="1"/>
  <c r="D39" i="4"/>
  <c r="J38" i="4"/>
  <c r="J54" i="4" s="1"/>
  <c r="I38" i="4"/>
  <c r="I54" i="4" s="1"/>
  <c r="H38" i="4"/>
  <c r="G38" i="4"/>
  <c r="G54" i="4" s="1"/>
  <c r="F38" i="4"/>
  <c r="F54" i="4" s="1"/>
  <c r="E38" i="4"/>
  <c r="E54" i="4" s="1"/>
  <c r="D38" i="4"/>
  <c r="J37" i="4"/>
  <c r="J53" i="4" s="1"/>
  <c r="I37" i="4"/>
  <c r="I53" i="4" s="1"/>
  <c r="H37" i="4"/>
  <c r="H53" i="4" s="1"/>
  <c r="G37" i="4"/>
  <c r="G53" i="4" s="1"/>
  <c r="F37" i="4"/>
  <c r="E37" i="4"/>
  <c r="E53" i="4" s="1"/>
  <c r="D37" i="4"/>
  <c r="D53" i="4" s="1"/>
  <c r="C37" i="4"/>
  <c r="C24" i="4"/>
  <c r="C25" i="4" s="1"/>
  <c r="C26" i="4" s="1"/>
  <c r="C27" i="4" s="1"/>
  <c r="C28" i="4" s="1"/>
  <c r="C29" i="4" s="1"/>
  <c r="C30" i="4" s="1"/>
  <c r="C31" i="4" s="1"/>
  <c r="C32" i="4" s="1"/>
  <c r="C33" i="4" s="1"/>
  <c r="C34" i="4" s="1"/>
  <c r="C35" i="4" s="1"/>
  <c r="D23" i="4"/>
  <c r="E23" i="4" s="1"/>
  <c r="F23" i="4" s="1"/>
  <c r="G23" i="4" s="1"/>
  <c r="H23" i="4" s="1"/>
  <c r="I23" i="4" s="1"/>
  <c r="J23" i="4" s="1"/>
  <c r="D24" i="4" s="1"/>
  <c r="E24" i="4" s="1"/>
  <c r="F24" i="4" s="1"/>
  <c r="G24" i="4" s="1"/>
  <c r="H24" i="4" s="1"/>
  <c r="I24" i="4" s="1"/>
  <c r="J24" i="4" s="1"/>
  <c r="D25" i="4" s="1"/>
  <c r="E25" i="4" s="1"/>
  <c r="F25" i="4" s="1"/>
  <c r="G25" i="4" s="1"/>
  <c r="H25" i="4" s="1"/>
  <c r="I25" i="4" s="1"/>
  <c r="J25" i="4" s="1"/>
  <c r="D26" i="4" s="1"/>
  <c r="E26" i="4" s="1"/>
  <c r="F26" i="4" s="1"/>
  <c r="G26" i="4" s="1"/>
  <c r="H26" i="4" s="1"/>
  <c r="I26" i="4" s="1"/>
  <c r="J26" i="4" s="1"/>
  <c r="D27" i="4" s="1"/>
  <c r="E27" i="4" s="1"/>
  <c r="F27" i="4" s="1"/>
  <c r="G27" i="4" s="1"/>
  <c r="H27" i="4" s="1"/>
  <c r="I27" i="4" s="1"/>
  <c r="J27" i="4" s="1"/>
  <c r="D28" i="4" s="1"/>
  <c r="E28" i="4" s="1"/>
  <c r="F28" i="4" s="1"/>
  <c r="G28" i="4" s="1"/>
  <c r="H28" i="4" s="1"/>
  <c r="I28" i="4" s="1"/>
  <c r="J28" i="4" s="1"/>
  <c r="D29" i="4" s="1"/>
  <c r="E29" i="4" s="1"/>
  <c r="F29" i="4" s="1"/>
  <c r="G29" i="4" s="1"/>
  <c r="H29" i="4" s="1"/>
  <c r="I29" i="4" s="1"/>
  <c r="J29" i="4" s="1"/>
  <c r="D30" i="4" s="1"/>
  <c r="E30" i="4" s="1"/>
  <c r="F30" i="4" s="1"/>
  <c r="G30" i="4" s="1"/>
  <c r="H30" i="4" s="1"/>
  <c r="I30" i="4" s="1"/>
  <c r="J30" i="4" s="1"/>
  <c r="D31" i="4" s="1"/>
  <c r="E31" i="4" s="1"/>
  <c r="F31" i="4" s="1"/>
  <c r="G31" i="4" s="1"/>
  <c r="H31" i="4" s="1"/>
  <c r="I31" i="4" s="1"/>
  <c r="J31" i="4" s="1"/>
  <c r="D32" i="4" s="1"/>
  <c r="E32" i="4" s="1"/>
  <c r="F32" i="4" s="1"/>
  <c r="G32" i="4" s="1"/>
  <c r="H32" i="4" s="1"/>
  <c r="I32" i="4" s="1"/>
  <c r="J32" i="4" s="1"/>
  <c r="D33" i="4" s="1"/>
  <c r="E33" i="4" s="1"/>
  <c r="F33" i="4" s="1"/>
  <c r="G33" i="4" s="1"/>
  <c r="H33" i="4" s="1"/>
  <c r="I33" i="4" s="1"/>
  <c r="J33" i="4" s="1"/>
  <c r="D34" i="4" s="1"/>
  <c r="E34" i="4" s="1"/>
  <c r="F34" i="4" s="1"/>
  <c r="G34" i="4" s="1"/>
  <c r="H34" i="4" s="1"/>
  <c r="I34" i="4" s="1"/>
  <c r="J34" i="4" s="1"/>
  <c r="D35" i="4" s="1"/>
  <c r="E35" i="4" s="1"/>
  <c r="F35" i="4" s="1"/>
  <c r="G35" i="4" s="1"/>
  <c r="H35" i="4" s="1"/>
  <c r="I35" i="4" s="1"/>
  <c r="J35" i="4" s="1"/>
  <c r="B5" i="4" s="1"/>
  <c r="E11" i="4"/>
  <c r="E12" i="4" s="1"/>
  <c r="E13" i="4" s="1"/>
  <c r="E14" i="4" s="1"/>
  <c r="E15" i="4" s="1"/>
  <c r="I10" i="4"/>
  <c r="I11" i="4" s="1"/>
  <c r="I12" i="4" s="1"/>
  <c r="I13" i="4" s="1"/>
  <c r="I14" i="4" s="1"/>
  <c r="I15" i="4" s="1"/>
  <c r="H10" i="4"/>
  <c r="H11" i="4" s="1"/>
  <c r="H12" i="4" s="1"/>
  <c r="H13" i="4" s="1"/>
  <c r="H14" i="4" s="1"/>
  <c r="H15" i="4" s="1"/>
  <c r="E10" i="4"/>
  <c r="D10" i="4"/>
  <c r="D11" i="4" s="1"/>
  <c r="D12" i="4" s="1"/>
  <c r="D13" i="4" s="1"/>
  <c r="D14" i="4" s="1"/>
  <c r="D15" i="4" s="1"/>
  <c r="J10" i="4"/>
  <c r="J11" i="4" s="1"/>
  <c r="J12" i="4" s="1"/>
  <c r="J13" i="4" s="1"/>
  <c r="J14" i="4" s="1"/>
  <c r="J15" i="4" s="1"/>
  <c r="G10" i="4"/>
  <c r="G11" i="4" s="1"/>
  <c r="G12" i="4" s="1"/>
  <c r="G13" i="4" s="1"/>
  <c r="G14" i="4" s="1"/>
  <c r="G15" i="4" s="1"/>
  <c r="F10" i="4"/>
  <c r="F11" i="4" s="1"/>
  <c r="C9" i="4"/>
  <c r="C54" i="4" s="1"/>
  <c r="DN7" i="4"/>
  <c r="DM7" i="4"/>
  <c r="DL7" i="4"/>
  <c r="DK7" i="4"/>
  <c r="DJ7" i="4"/>
  <c r="DI7" i="4"/>
  <c r="DH7" i="4"/>
  <c r="DG7" i="4"/>
  <c r="DF7" i="4"/>
  <c r="DE7" i="4"/>
  <c r="DD7" i="4"/>
  <c r="DC7" i="4"/>
  <c r="DB7" i="4"/>
  <c r="DA7" i="4"/>
  <c r="CZ7" i="4"/>
  <c r="CY7" i="4"/>
  <c r="CX7" i="4"/>
  <c r="CW7" i="4"/>
  <c r="CV7" i="4"/>
  <c r="CU7" i="4"/>
  <c r="CT7" i="4"/>
  <c r="CS7" i="4"/>
  <c r="CR7" i="4"/>
  <c r="CQ7" i="4"/>
  <c r="CP7" i="4"/>
  <c r="CO7" i="4"/>
  <c r="CN7" i="4"/>
  <c r="CM7" i="4"/>
  <c r="CL7" i="4"/>
  <c r="CK7" i="4"/>
  <c r="CJ7" i="4"/>
  <c r="CI7" i="4"/>
  <c r="CH7" i="4"/>
  <c r="CG7" i="4"/>
  <c r="CF7" i="4"/>
  <c r="CD7" i="4"/>
  <c r="CC7" i="4"/>
  <c r="CB7" i="4"/>
  <c r="CA7" i="4"/>
  <c r="BZ7" i="4"/>
  <c r="BY7" i="4"/>
  <c r="BX7" i="4"/>
  <c r="BW7" i="4"/>
  <c r="BV7" i="4"/>
  <c r="BU7" i="4"/>
  <c r="BT7" i="4"/>
  <c r="BS7" i="4"/>
  <c r="BR7" i="4"/>
  <c r="BQ7" i="4"/>
  <c r="BP7" i="4"/>
  <c r="BO7" i="4"/>
  <c r="BN7" i="4"/>
  <c r="BM7" i="4"/>
  <c r="BL7" i="4"/>
  <c r="BK7" i="4"/>
  <c r="BJ7" i="4"/>
  <c r="BI7" i="4"/>
  <c r="BH7" i="4"/>
  <c r="BG7" i="4"/>
  <c r="BF7" i="4"/>
  <c r="BE7" i="4"/>
  <c r="BD7" i="4"/>
  <c r="BC7" i="4"/>
  <c r="BB7" i="4"/>
  <c r="BA7" i="4"/>
  <c r="AZ7" i="4"/>
  <c r="AY7" i="4"/>
  <c r="AX7" i="4"/>
  <c r="AW7" i="4"/>
  <c r="AV7" i="4"/>
  <c r="DH6" i="4"/>
  <c r="DA6" i="4"/>
  <c r="CT6" i="4"/>
  <c r="CM6" i="4"/>
  <c r="CF6" i="4"/>
  <c r="BX6" i="4"/>
  <c r="BQ6" i="4"/>
  <c r="BK6" i="4"/>
  <c r="BJ6" i="4"/>
  <c r="BC6" i="4"/>
  <c r="AW6" i="4"/>
  <c r="AV6" i="4"/>
  <c r="AO6" i="4"/>
  <c r="DI6" i="4" s="1"/>
  <c r="AH6" i="4"/>
  <c r="DB6" i="4" s="1"/>
  <c r="AA6" i="4"/>
  <c r="CU6" i="4" s="1"/>
  <c r="T6" i="4"/>
  <c r="BD6" i="4" s="1"/>
  <c r="M6" i="4"/>
  <c r="CG6" i="4" s="1"/>
  <c r="B5" i="3"/>
  <c r="F65" i="3"/>
  <c r="J64" i="3"/>
  <c r="F64" i="3"/>
  <c r="J63" i="3"/>
  <c r="F63" i="3"/>
  <c r="J62" i="3"/>
  <c r="F62" i="3"/>
  <c r="J61" i="3"/>
  <c r="F61" i="3"/>
  <c r="J60" i="3"/>
  <c r="G58" i="3"/>
  <c r="E57" i="3"/>
  <c r="E55" i="3"/>
  <c r="E53" i="3"/>
  <c r="C53" i="3"/>
  <c r="J49" i="3"/>
  <c r="I49" i="3"/>
  <c r="I65" i="3" s="1"/>
  <c r="H49" i="3"/>
  <c r="H65" i="3" s="1"/>
  <c r="G49" i="3"/>
  <c r="G65" i="3" s="1"/>
  <c r="F49" i="3"/>
  <c r="E49" i="3"/>
  <c r="E65" i="3" s="1"/>
  <c r="D49" i="3"/>
  <c r="D65" i="3" s="1"/>
  <c r="J48" i="3"/>
  <c r="I48" i="3"/>
  <c r="I64" i="3" s="1"/>
  <c r="H48" i="3"/>
  <c r="H64" i="3" s="1"/>
  <c r="G48" i="3"/>
  <c r="G64" i="3" s="1"/>
  <c r="F48" i="3"/>
  <c r="E48" i="3"/>
  <c r="E64" i="3" s="1"/>
  <c r="D48" i="3"/>
  <c r="D64" i="3" s="1"/>
  <c r="J47" i="3"/>
  <c r="I47" i="3"/>
  <c r="I63" i="3" s="1"/>
  <c r="H47" i="3"/>
  <c r="H63" i="3" s="1"/>
  <c r="G47" i="3"/>
  <c r="G63" i="3" s="1"/>
  <c r="F47" i="3"/>
  <c r="E47" i="3"/>
  <c r="E63" i="3" s="1"/>
  <c r="D47" i="3"/>
  <c r="D63" i="3" s="1"/>
  <c r="J46" i="3"/>
  <c r="I46" i="3"/>
  <c r="I62" i="3" s="1"/>
  <c r="H46" i="3"/>
  <c r="H62" i="3" s="1"/>
  <c r="G46" i="3"/>
  <c r="G62" i="3" s="1"/>
  <c r="F46" i="3"/>
  <c r="E46" i="3"/>
  <c r="E62" i="3" s="1"/>
  <c r="D46" i="3"/>
  <c r="D62" i="3" s="1"/>
  <c r="J45" i="3"/>
  <c r="I45" i="3"/>
  <c r="I61" i="3" s="1"/>
  <c r="H45" i="3"/>
  <c r="H61" i="3" s="1"/>
  <c r="G45" i="3"/>
  <c r="G61" i="3" s="1"/>
  <c r="F45" i="3"/>
  <c r="E45" i="3"/>
  <c r="E61" i="3" s="1"/>
  <c r="D45" i="3"/>
  <c r="D61" i="3" s="1"/>
  <c r="J44" i="3"/>
  <c r="I44" i="3"/>
  <c r="I60" i="3" s="1"/>
  <c r="H44" i="3"/>
  <c r="G44" i="3"/>
  <c r="G60" i="3" s="1"/>
  <c r="F44" i="3"/>
  <c r="E44" i="3"/>
  <c r="E60" i="3" s="1"/>
  <c r="D44" i="3"/>
  <c r="J43" i="3"/>
  <c r="J59" i="3" s="1"/>
  <c r="I43" i="3"/>
  <c r="I59" i="3" s="1"/>
  <c r="H43" i="3"/>
  <c r="G43" i="3"/>
  <c r="G59" i="3" s="1"/>
  <c r="F43" i="3"/>
  <c r="E43" i="3"/>
  <c r="E59" i="3" s="1"/>
  <c r="D43" i="3"/>
  <c r="J42" i="3"/>
  <c r="J58" i="3" s="1"/>
  <c r="I42" i="3"/>
  <c r="I58" i="3" s="1"/>
  <c r="H42" i="3"/>
  <c r="G42" i="3"/>
  <c r="F42" i="3"/>
  <c r="E42" i="3"/>
  <c r="E58" i="3" s="1"/>
  <c r="D42" i="3"/>
  <c r="J41" i="3"/>
  <c r="J57" i="3" s="1"/>
  <c r="I41" i="3"/>
  <c r="H41" i="3"/>
  <c r="G41" i="3"/>
  <c r="G57" i="3" s="1"/>
  <c r="F41" i="3"/>
  <c r="E41" i="3"/>
  <c r="D41" i="3"/>
  <c r="J40" i="3"/>
  <c r="J56" i="3" s="1"/>
  <c r="I40" i="3"/>
  <c r="H40" i="3"/>
  <c r="G40" i="3"/>
  <c r="G56" i="3" s="1"/>
  <c r="F40" i="3"/>
  <c r="E40" i="3"/>
  <c r="E56" i="3" s="1"/>
  <c r="D40" i="3"/>
  <c r="J39" i="3"/>
  <c r="J55" i="3" s="1"/>
  <c r="I39" i="3"/>
  <c r="H39" i="3"/>
  <c r="G39" i="3"/>
  <c r="G55" i="3" s="1"/>
  <c r="F39" i="3"/>
  <c r="E39" i="3"/>
  <c r="D39" i="3"/>
  <c r="J38" i="3"/>
  <c r="J54" i="3" s="1"/>
  <c r="I38" i="3"/>
  <c r="I54" i="3" s="1"/>
  <c r="H38" i="3"/>
  <c r="H54" i="3" s="1"/>
  <c r="G38" i="3"/>
  <c r="G54" i="3" s="1"/>
  <c r="F38" i="3"/>
  <c r="F54" i="3" s="1"/>
  <c r="E38" i="3"/>
  <c r="E54" i="3" s="1"/>
  <c r="D38" i="3"/>
  <c r="J37" i="3"/>
  <c r="J53" i="3" s="1"/>
  <c r="I37" i="3"/>
  <c r="I53" i="3" s="1"/>
  <c r="H37" i="3"/>
  <c r="H53" i="3" s="1"/>
  <c r="G37" i="3"/>
  <c r="G53" i="3" s="1"/>
  <c r="F37" i="3"/>
  <c r="F53" i="3" s="1"/>
  <c r="E37" i="3"/>
  <c r="D37" i="3"/>
  <c r="D53" i="3" s="1"/>
  <c r="C37" i="3"/>
  <c r="C24" i="3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D23" i="3"/>
  <c r="E23" i="3" s="1"/>
  <c r="F23" i="3" s="1"/>
  <c r="G23" i="3" s="1"/>
  <c r="H23" i="3" s="1"/>
  <c r="I23" i="3" s="1"/>
  <c r="J23" i="3" s="1"/>
  <c r="D24" i="3" s="1"/>
  <c r="E24" i="3" s="1"/>
  <c r="F24" i="3" s="1"/>
  <c r="G24" i="3" s="1"/>
  <c r="H24" i="3" s="1"/>
  <c r="I24" i="3" s="1"/>
  <c r="J24" i="3" s="1"/>
  <c r="D25" i="3" s="1"/>
  <c r="E25" i="3" s="1"/>
  <c r="F25" i="3" s="1"/>
  <c r="G25" i="3" s="1"/>
  <c r="H25" i="3" s="1"/>
  <c r="I25" i="3" s="1"/>
  <c r="J25" i="3" s="1"/>
  <c r="D26" i="3" s="1"/>
  <c r="E26" i="3" s="1"/>
  <c r="F26" i="3" s="1"/>
  <c r="G26" i="3" s="1"/>
  <c r="H26" i="3" s="1"/>
  <c r="I26" i="3" s="1"/>
  <c r="J26" i="3" s="1"/>
  <c r="D27" i="3" s="1"/>
  <c r="E27" i="3" s="1"/>
  <c r="F27" i="3" s="1"/>
  <c r="G27" i="3" s="1"/>
  <c r="H27" i="3" s="1"/>
  <c r="I27" i="3" s="1"/>
  <c r="J27" i="3" s="1"/>
  <c r="D28" i="3" s="1"/>
  <c r="E28" i="3" s="1"/>
  <c r="F28" i="3" s="1"/>
  <c r="G28" i="3" s="1"/>
  <c r="H28" i="3" s="1"/>
  <c r="I28" i="3" s="1"/>
  <c r="J28" i="3" s="1"/>
  <c r="D29" i="3" s="1"/>
  <c r="E29" i="3" s="1"/>
  <c r="F29" i="3" s="1"/>
  <c r="G29" i="3" s="1"/>
  <c r="H29" i="3" s="1"/>
  <c r="I29" i="3" s="1"/>
  <c r="J29" i="3" s="1"/>
  <c r="D30" i="3" s="1"/>
  <c r="E30" i="3" s="1"/>
  <c r="F30" i="3" s="1"/>
  <c r="G30" i="3" s="1"/>
  <c r="H30" i="3" s="1"/>
  <c r="I30" i="3" s="1"/>
  <c r="J30" i="3" s="1"/>
  <c r="D31" i="3" s="1"/>
  <c r="E31" i="3" s="1"/>
  <c r="F31" i="3" s="1"/>
  <c r="G31" i="3" s="1"/>
  <c r="H31" i="3" s="1"/>
  <c r="I31" i="3" s="1"/>
  <c r="J31" i="3" s="1"/>
  <c r="D32" i="3" s="1"/>
  <c r="E32" i="3" s="1"/>
  <c r="F32" i="3" s="1"/>
  <c r="G32" i="3" s="1"/>
  <c r="H32" i="3" s="1"/>
  <c r="I32" i="3" s="1"/>
  <c r="J32" i="3" s="1"/>
  <c r="D33" i="3" s="1"/>
  <c r="E33" i="3" s="1"/>
  <c r="F33" i="3" s="1"/>
  <c r="G33" i="3" s="1"/>
  <c r="H33" i="3" s="1"/>
  <c r="I33" i="3" s="1"/>
  <c r="J33" i="3" s="1"/>
  <c r="D34" i="3" s="1"/>
  <c r="E34" i="3" s="1"/>
  <c r="F34" i="3" s="1"/>
  <c r="G34" i="3" s="1"/>
  <c r="H34" i="3" s="1"/>
  <c r="I34" i="3" s="1"/>
  <c r="J34" i="3" s="1"/>
  <c r="D35" i="3" s="1"/>
  <c r="E35" i="3" s="1"/>
  <c r="F35" i="3" s="1"/>
  <c r="G35" i="3" s="1"/>
  <c r="H35" i="3" s="1"/>
  <c r="I35" i="3" s="1"/>
  <c r="J35" i="3" s="1"/>
  <c r="E10" i="3"/>
  <c r="E11" i="3" s="1"/>
  <c r="E12" i="3" s="1"/>
  <c r="E13" i="3" s="1"/>
  <c r="E14" i="3" s="1"/>
  <c r="E15" i="3" s="1"/>
  <c r="J10" i="3"/>
  <c r="J11" i="3" s="1"/>
  <c r="J12" i="3" s="1"/>
  <c r="J13" i="3" s="1"/>
  <c r="J14" i="3" s="1"/>
  <c r="J15" i="3" s="1"/>
  <c r="I10" i="3"/>
  <c r="I11" i="3" s="1"/>
  <c r="I12" i="3" s="1"/>
  <c r="I13" i="3" s="1"/>
  <c r="I14" i="3" s="1"/>
  <c r="I15" i="3" s="1"/>
  <c r="H10" i="3"/>
  <c r="H11" i="3" s="1"/>
  <c r="H12" i="3" s="1"/>
  <c r="H13" i="3" s="1"/>
  <c r="H14" i="3" s="1"/>
  <c r="H15" i="3" s="1"/>
  <c r="G10" i="3"/>
  <c r="G11" i="3" s="1"/>
  <c r="G12" i="3" s="1"/>
  <c r="G13" i="3" s="1"/>
  <c r="G14" i="3" s="1"/>
  <c r="G15" i="3" s="1"/>
  <c r="F10" i="3"/>
  <c r="F11" i="3" s="1"/>
  <c r="F12" i="3" s="1"/>
  <c r="F13" i="3" s="1"/>
  <c r="F14" i="3" s="1"/>
  <c r="F15" i="3" s="1"/>
  <c r="D10" i="3"/>
  <c r="D11" i="3" s="1"/>
  <c r="D12" i="3" s="1"/>
  <c r="D13" i="3" s="1"/>
  <c r="D14" i="3" s="1"/>
  <c r="D15" i="3" s="1"/>
  <c r="C9" i="3"/>
  <c r="C54" i="3" s="1"/>
  <c r="DN7" i="3"/>
  <c r="DM7" i="3"/>
  <c r="DL7" i="3"/>
  <c r="DK7" i="3"/>
  <c r="DJ7" i="3"/>
  <c r="DI7" i="3"/>
  <c r="DH7" i="3"/>
  <c r="DG7" i="3"/>
  <c r="DF7" i="3"/>
  <c r="DE7" i="3"/>
  <c r="DD7" i="3"/>
  <c r="DC7" i="3"/>
  <c r="DB7" i="3"/>
  <c r="DA7" i="3"/>
  <c r="CZ7" i="3"/>
  <c r="CY7" i="3"/>
  <c r="CX7" i="3"/>
  <c r="CW7" i="3"/>
  <c r="CV7" i="3"/>
  <c r="CU7" i="3"/>
  <c r="CT7" i="3"/>
  <c r="CS7" i="3"/>
  <c r="CR7" i="3"/>
  <c r="CQ7" i="3"/>
  <c r="CP7" i="3"/>
  <c r="CO7" i="3"/>
  <c r="CN7" i="3"/>
  <c r="CM7" i="3"/>
  <c r="CL7" i="3"/>
  <c r="CK7" i="3"/>
  <c r="CJ7" i="3"/>
  <c r="CI7" i="3"/>
  <c r="CH7" i="3"/>
  <c r="CG7" i="3"/>
  <c r="CF7" i="3"/>
  <c r="CD7" i="3"/>
  <c r="CC7" i="3"/>
  <c r="CB7" i="3"/>
  <c r="CA7" i="3"/>
  <c r="BZ7" i="3"/>
  <c r="BY7" i="3"/>
  <c r="BX7" i="3"/>
  <c r="BW7" i="3"/>
  <c r="BV7" i="3"/>
  <c r="BU7" i="3"/>
  <c r="BT7" i="3"/>
  <c r="BS7" i="3"/>
  <c r="BR7" i="3"/>
  <c r="BQ7" i="3"/>
  <c r="BP7" i="3"/>
  <c r="BO7" i="3"/>
  <c r="BN7" i="3"/>
  <c r="BM7" i="3"/>
  <c r="BL7" i="3"/>
  <c r="BK7" i="3"/>
  <c r="BJ7" i="3"/>
  <c r="BI7" i="3"/>
  <c r="BH7" i="3"/>
  <c r="BG7" i="3"/>
  <c r="BF7" i="3"/>
  <c r="BE7" i="3"/>
  <c r="BD7" i="3"/>
  <c r="BC7" i="3"/>
  <c r="BB7" i="3"/>
  <c r="BA7" i="3"/>
  <c r="AZ7" i="3"/>
  <c r="AY7" i="3"/>
  <c r="AX7" i="3"/>
  <c r="AW7" i="3"/>
  <c r="AV7" i="3"/>
  <c r="DH6" i="3"/>
  <c r="DA6" i="3"/>
  <c r="CT6" i="3"/>
  <c r="CM6" i="3"/>
  <c r="CF6" i="3"/>
  <c r="BX6" i="3"/>
  <c r="BQ6" i="3"/>
  <c r="BJ6" i="3"/>
  <c r="BC6" i="3"/>
  <c r="AV6" i="3"/>
  <c r="AO6" i="3"/>
  <c r="AH6" i="3"/>
  <c r="AA6" i="3"/>
  <c r="CU6" i="3" s="1"/>
  <c r="T6" i="3"/>
  <c r="BD6" i="3" s="1"/>
  <c r="M6" i="3"/>
  <c r="AW6" i="3" s="1"/>
  <c r="F23" i="2"/>
  <c r="G23" i="2" s="1"/>
  <c r="H23" i="2" s="1"/>
  <c r="I23" i="2" s="1"/>
  <c r="J23" i="2" s="1"/>
  <c r="K23" i="2" s="1"/>
  <c r="L23" i="2" s="1"/>
  <c r="F24" i="2" s="1"/>
  <c r="G24" i="2" s="1"/>
  <c r="H24" i="2" s="1"/>
  <c r="I24" i="2" s="1"/>
  <c r="J24" i="2" s="1"/>
  <c r="K24" i="2" s="1"/>
  <c r="L24" i="2" s="1"/>
  <c r="F25" i="2" s="1"/>
  <c r="G25" i="2" s="1"/>
  <c r="H25" i="2" s="1"/>
  <c r="I25" i="2" s="1"/>
  <c r="J25" i="2" s="1"/>
  <c r="K25" i="2" s="1"/>
  <c r="L25" i="2" s="1"/>
  <c r="F26" i="2" s="1"/>
  <c r="G26" i="2" s="1"/>
  <c r="H26" i="2" s="1"/>
  <c r="I26" i="2" s="1"/>
  <c r="J26" i="2" s="1"/>
  <c r="K26" i="2" s="1"/>
  <c r="L26" i="2" s="1"/>
  <c r="F27" i="2" s="1"/>
  <c r="G27" i="2" s="1"/>
  <c r="H27" i="2" s="1"/>
  <c r="I27" i="2" s="1"/>
  <c r="J27" i="2" s="1"/>
  <c r="K27" i="2" s="1"/>
  <c r="L27" i="2" s="1"/>
  <c r="F28" i="2" s="1"/>
  <c r="G28" i="2" s="1"/>
  <c r="H28" i="2" s="1"/>
  <c r="I28" i="2" s="1"/>
  <c r="J28" i="2" s="1"/>
  <c r="K28" i="2" s="1"/>
  <c r="L28" i="2" s="1"/>
  <c r="F29" i="2" s="1"/>
  <c r="G29" i="2" s="1"/>
  <c r="H29" i="2" s="1"/>
  <c r="I29" i="2" s="1"/>
  <c r="J29" i="2" s="1"/>
  <c r="K29" i="2" s="1"/>
  <c r="L29" i="2" s="1"/>
  <c r="F30" i="2" s="1"/>
  <c r="G30" i="2" s="1"/>
  <c r="H30" i="2" s="1"/>
  <c r="I30" i="2" s="1"/>
  <c r="J30" i="2" s="1"/>
  <c r="K30" i="2" s="1"/>
  <c r="L30" i="2" s="1"/>
  <c r="F31" i="2" s="1"/>
  <c r="G31" i="2" s="1"/>
  <c r="H31" i="2" s="1"/>
  <c r="I31" i="2" s="1"/>
  <c r="J31" i="2" s="1"/>
  <c r="K31" i="2" s="1"/>
  <c r="L31" i="2" s="1"/>
  <c r="F32" i="2" s="1"/>
  <c r="G32" i="2" s="1"/>
  <c r="H32" i="2" s="1"/>
  <c r="I32" i="2" s="1"/>
  <c r="J32" i="2" s="1"/>
  <c r="K32" i="2" s="1"/>
  <c r="L32" i="2" s="1"/>
  <c r="F33" i="2" s="1"/>
  <c r="G33" i="2" s="1"/>
  <c r="H33" i="2" s="1"/>
  <c r="I33" i="2" s="1"/>
  <c r="J33" i="2" s="1"/>
  <c r="K33" i="2" s="1"/>
  <c r="L33" i="2" s="1"/>
  <c r="F34" i="2" s="1"/>
  <c r="G34" i="2" s="1"/>
  <c r="H34" i="2" s="1"/>
  <c r="I34" i="2" s="1"/>
  <c r="J34" i="2" s="1"/>
  <c r="K34" i="2" s="1"/>
  <c r="L34" i="2" s="1"/>
  <c r="F35" i="2" s="1"/>
  <c r="G35" i="2" s="1"/>
  <c r="H35" i="2" s="1"/>
  <c r="I35" i="2" s="1"/>
  <c r="J35" i="2" s="1"/>
  <c r="K35" i="2" s="1"/>
  <c r="L35" i="2" s="1"/>
  <c r="E24" i="2"/>
  <c r="E25" i="2" s="1"/>
  <c r="E26" i="2" s="1"/>
  <c r="E27" i="2" s="1"/>
  <c r="E28" i="2" s="1"/>
  <c r="E29" i="2" s="1"/>
  <c r="E30" i="2" s="1"/>
  <c r="E31" i="2" s="1"/>
  <c r="E32" i="2" s="1"/>
  <c r="E33" i="2" s="1"/>
  <c r="E34" i="2" s="1"/>
  <c r="E35" i="2" s="1"/>
  <c r="L63" i="2"/>
  <c r="L61" i="2"/>
  <c r="E53" i="2"/>
  <c r="L49" i="2"/>
  <c r="K49" i="2"/>
  <c r="K65" i="2" s="1"/>
  <c r="J49" i="2"/>
  <c r="J65" i="2" s="1"/>
  <c r="I49" i="2"/>
  <c r="I65" i="2" s="1"/>
  <c r="H49" i="2"/>
  <c r="H65" i="2" s="1"/>
  <c r="G49" i="2"/>
  <c r="G65" i="2" s="1"/>
  <c r="F49" i="2"/>
  <c r="F65" i="2" s="1"/>
  <c r="L48" i="2"/>
  <c r="L64" i="2" s="1"/>
  <c r="K48" i="2"/>
  <c r="K64" i="2" s="1"/>
  <c r="J48" i="2"/>
  <c r="J64" i="2" s="1"/>
  <c r="I48" i="2"/>
  <c r="I64" i="2" s="1"/>
  <c r="H48" i="2"/>
  <c r="H64" i="2" s="1"/>
  <c r="G48" i="2"/>
  <c r="G64" i="2" s="1"/>
  <c r="F48" i="2"/>
  <c r="F64" i="2" s="1"/>
  <c r="L47" i="2"/>
  <c r="K47" i="2"/>
  <c r="K63" i="2" s="1"/>
  <c r="J47" i="2"/>
  <c r="J63" i="2" s="1"/>
  <c r="I47" i="2"/>
  <c r="I63" i="2" s="1"/>
  <c r="H47" i="2"/>
  <c r="H63" i="2" s="1"/>
  <c r="G47" i="2"/>
  <c r="G63" i="2" s="1"/>
  <c r="F47" i="2"/>
  <c r="F63" i="2" s="1"/>
  <c r="L46" i="2"/>
  <c r="L62" i="2" s="1"/>
  <c r="K46" i="2"/>
  <c r="K62" i="2" s="1"/>
  <c r="J46" i="2"/>
  <c r="J62" i="2" s="1"/>
  <c r="I46" i="2"/>
  <c r="I62" i="2" s="1"/>
  <c r="H46" i="2"/>
  <c r="H62" i="2" s="1"/>
  <c r="G46" i="2"/>
  <c r="G62" i="2" s="1"/>
  <c r="F46" i="2"/>
  <c r="F62" i="2" s="1"/>
  <c r="L45" i="2"/>
  <c r="K45" i="2"/>
  <c r="K61" i="2" s="1"/>
  <c r="J45" i="2"/>
  <c r="J61" i="2" s="1"/>
  <c r="I45" i="2"/>
  <c r="I61" i="2" s="1"/>
  <c r="H45" i="2"/>
  <c r="H61" i="2" s="1"/>
  <c r="G45" i="2"/>
  <c r="G61" i="2" s="1"/>
  <c r="F45" i="2"/>
  <c r="F61" i="2" s="1"/>
  <c r="L44" i="2"/>
  <c r="L60" i="2" s="1"/>
  <c r="K44" i="2"/>
  <c r="K60" i="2" s="1"/>
  <c r="J44" i="2"/>
  <c r="I44" i="2"/>
  <c r="I60" i="2" s="1"/>
  <c r="H44" i="2"/>
  <c r="G44" i="2"/>
  <c r="G60" i="2" s="1"/>
  <c r="F44" i="2"/>
  <c r="L43" i="2"/>
  <c r="L59" i="2" s="1"/>
  <c r="K43" i="2"/>
  <c r="K59" i="2" s="1"/>
  <c r="J43" i="2"/>
  <c r="I43" i="2"/>
  <c r="I59" i="2" s="1"/>
  <c r="H43" i="2"/>
  <c r="G43" i="2"/>
  <c r="G59" i="2" s="1"/>
  <c r="F43" i="2"/>
  <c r="L42" i="2"/>
  <c r="L58" i="2" s="1"/>
  <c r="K42" i="2"/>
  <c r="K58" i="2" s="1"/>
  <c r="J42" i="2"/>
  <c r="I42" i="2"/>
  <c r="I58" i="2" s="1"/>
  <c r="H42" i="2"/>
  <c r="G42" i="2"/>
  <c r="G58" i="2" s="1"/>
  <c r="F42" i="2"/>
  <c r="L41" i="2"/>
  <c r="L57" i="2" s="1"/>
  <c r="K41" i="2"/>
  <c r="J41" i="2"/>
  <c r="I41" i="2"/>
  <c r="I57" i="2" s="1"/>
  <c r="H41" i="2"/>
  <c r="G41" i="2"/>
  <c r="G57" i="2" s="1"/>
  <c r="F41" i="2"/>
  <c r="L40" i="2"/>
  <c r="L56" i="2" s="1"/>
  <c r="K40" i="2"/>
  <c r="J40" i="2"/>
  <c r="I40" i="2"/>
  <c r="I56" i="2" s="1"/>
  <c r="H40" i="2"/>
  <c r="G40" i="2"/>
  <c r="G56" i="2" s="1"/>
  <c r="F40" i="2"/>
  <c r="L39" i="2"/>
  <c r="L55" i="2" s="1"/>
  <c r="K39" i="2"/>
  <c r="J39" i="2"/>
  <c r="I39" i="2"/>
  <c r="I55" i="2" s="1"/>
  <c r="H39" i="2"/>
  <c r="G39" i="2"/>
  <c r="G55" i="2" s="1"/>
  <c r="F39" i="2"/>
  <c r="L38" i="2"/>
  <c r="L54" i="2" s="1"/>
  <c r="K38" i="2"/>
  <c r="K54" i="2" s="1"/>
  <c r="J38" i="2"/>
  <c r="I38" i="2"/>
  <c r="I54" i="2" s="1"/>
  <c r="H38" i="2"/>
  <c r="H54" i="2" s="1"/>
  <c r="G38" i="2"/>
  <c r="G54" i="2" s="1"/>
  <c r="F38" i="2"/>
  <c r="L37" i="2"/>
  <c r="L53" i="2" s="1"/>
  <c r="K37" i="2"/>
  <c r="K53" i="2" s="1"/>
  <c r="J37" i="2"/>
  <c r="J53" i="2" s="1"/>
  <c r="I37" i="2"/>
  <c r="I53" i="2" s="1"/>
  <c r="H37" i="2"/>
  <c r="H53" i="2" s="1"/>
  <c r="G37" i="2"/>
  <c r="G53" i="2" s="1"/>
  <c r="F37" i="2"/>
  <c r="F53" i="2" s="1"/>
  <c r="E37" i="2"/>
  <c r="L9" i="2"/>
  <c r="L10" i="2" s="1"/>
  <c r="L11" i="2" s="1"/>
  <c r="L12" i="2" s="1"/>
  <c r="L13" i="2" s="1"/>
  <c r="L14" i="2" s="1"/>
  <c r="L15" i="2" s="1"/>
  <c r="K9" i="2"/>
  <c r="K10" i="2" s="1"/>
  <c r="K11" i="2" s="1"/>
  <c r="K12" i="2" s="1"/>
  <c r="K13" i="2" s="1"/>
  <c r="K14" i="2" s="1"/>
  <c r="K15" i="2" s="1"/>
  <c r="J9" i="2"/>
  <c r="J10" i="2" s="1"/>
  <c r="J11" i="2" s="1"/>
  <c r="J12" i="2" s="1"/>
  <c r="J13" i="2" s="1"/>
  <c r="J14" i="2" s="1"/>
  <c r="J15" i="2" s="1"/>
  <c r="I9" i="2"/>
  <c r="I10" i="2" s="1"/>
  <c r="I11" i="2" s="1"/>
  <c r="I12" i="2" s="1"/>
  <c r="I13" i="2" s="1"/>
  <c r="I14" i="2" s="1"/>
  <c r="I15" i="2" s="1"/>
  <c r="H9" i="2"/>
  <c r="H10" i="2" s="1"/>
  <c r="H11" i="2" s="1"/>
  <c r="H12" i="2" s="1"/>
  <c r="H13" i="2" s="1"/>
  <c r="H14" i="2" s="1"/>
  <c r="H15" i="2" s="1"/>
  <c r="G9" i="2"/>
  <c r="G10" i="2" s="1"/>
  <c r="G11" i="2" s="1"/>
  <c r="G12" i="2" s="1"/>
  <c r="G13" i="2" s="1"/>
  <c r="G14" i="2" s="1"/>
  <c r="G15" i="2" s="1"/>
  <c r="F9" i="2"/>
  <c r="F10" i="2" s="1"/>
  <c r="F11" i="2" s="1"/>
  <c r="F12" i="2" s="1"/>
  <c r="F13" i="2" s="1"/>
  <c r="F14" i="2" s="1"/>
  <c r="F15" i="2" s="1"/>
  <c r="E9" i="2"/>
  <c r="E54" i="2" s="1"/>
  <c r="DP7" i="2"/>
  <c r="DO7" i="2"/>
  <c r="DN7" i="2"/>
  <c r="DM7" i="2"/>
  <c r="DL7" i="2"/>
  <c r="DK7" i="2"/>
  <c r="DJ7" i="2"/>
  <c r="DI7" i="2"/>
  <c r="DH7" i="2"/>
  <c r="DG7" i="2"/>
  <c r="DF7" i="2"/>
  <c r="DE7" i="2"/>
  <c r="DD7" i="2"/>
  <c r="DC7" i="2"/>
  <c r="DB7" i="2"/>
  <c r="DA7" i="2"/>
  <c r="CZ7" i="2"/>
  <c r="CY7" i="2"/>
  <c r="CX7" i="2"/>
  <c r="CW7" i="2"/>
  <c r="CV7" i="2"/>
  <c r="CU7" i="2"/>
  <c r="CT7" i="2"/>
  <c r="CS7" i="2"/>
  <c r="CR7" i="2"/>
  <c r="CQ7" i="2"/>
  <c r="CP7" i="2"/>
  <c r="CO7" i="2"/>
  <c r="CN7" i="2"/>
  <c r="CM7" i="2"/>
  <c r="CL7" i="2"/>
  <c r="CK7" i="2"/>
  <c r="CJ7" i="2"/>
  <c r="CI7" i="2"/>
  <c r="CH7" i="2"/>
  <c r="CF7" i="2"/>
  <c r="CE7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DJ6" i="2"/>
  <c r="DC6" i="2"/>
  <c r="CV6" i="2"/>
  <c r="CP6" i="2"/>
  <c r="CO6" i="2"/>
  <c r="CH6" i="2"/>
  <c r="BZ6" i="2"/>
  <c r="BU6" i="2"/>
  <c r="BS6" i="2"/>
  <c r="BM6" i="2"/>
  <c r="BL6" i="2"/>
  <c r="BE6" i="2"/>
  <c r="AX6" i="2"/>
  <c r="AR6" i="2"/>
  <c r="CB6" i="2" s="1"/>
  <c r="AQ6" i="2"/>
  <c r="CA6" i="2" s="1"/>
  <c r="AK6" i="2"/>
  <c r="DE6" i="2" s="1"/>
  <c r="AJ6" i="2"/>
  <c r="BT6" i="2" s="1"/>
  <c r="AD6" i="2"/>
  <c r="CX6" i="2" s="1"/>
  <c r="AC6" i="2"/>
  <c r="CW6" i="2" s="1"/>
  <c r="W6" i="2"/>
  <c r="X6" i="2" s="1"/>
  <c r="V6" i="2"/>
  <c r="BF6" i="2" s="1"/>
  <c r="P6" i="2"/>
  <c r="AZ6" i="2" s="1"/>
  <c r="O6" i="2"/>
  <c r="AY6" i="2" s="1"/>
  <c r="C56" i="2" l="1"/>
  <c r="J54" i="2"/>
  <c r="F54" i="2"/>
  <c r="K55" i="2"/>
  <c r="H56" i="2"/>
  <c r="DJ6" i="5"/>
  <c r="AQ6" i="5"/>
  <c r="BZ6" i="5"/>
  <c r="I57" i="5"/>
  <c r="BY6" i="5"/>
  <c r="DI6" i="5"/>
  <c r="AW6" i="5"/>
  <c r="CG6" i="5"/>
  <c r="CO6" i="5"/>
  <c r="BE6" i="5"/>
  <c r="AC6" i="5"/>
  <c r="CV6" i="5"/>
  <c r="N6" i="5"/>
  <c r="V6" i="5"/>
  <c r="D57" i="5"/>
  <c r="C54" i="5"/>
  <c r="C38" i="5"/>
  <c r="C10" i="5"/>
  <c r="BD6" i="5"/>
  <c r="BR6" i="5"/>
  <c r="CN6" i="5"/>
  <c r="H57" i="5"/>
  <c r="AI6" i="5"/>
  <c r="D56" i="5"/>
  <c r="H56" i="5"/>
  <c r="F55" i="4"/>
  <c r="I57" i="4"/>
  <c r="H56" i="3"/>
  <c r="H55" i="3"/>
  <c r="H57" i="3"/>
  <c r="D55" i="3"/>
  <c r="D56" i="3"/>
  <c r="D54" i="3"/>
  <c r="D57" i="3"/>
  <c r="F12" i="4"/>
  <c r="F56" i="4"/>
  <c r="I56" i="4"/>
  <c r="U6" i="4"/>
  <c r="AI6" i="4"/>
  <c r="BR6" i="4"/>
  <c r="D56" i="4"/>
  <c r="H56" i="4"/>
  <c r="CN6" i="4"/>
  <c r="D55" i="4"/>
  <c r="H55" i="4"/>
  <c r="I55" i="4"/>
  <c r="N6" i="4"/>
  <c r="AB6" i="4"/>
  <c r="AP6" i="4"/>
  <c r="BY6" i="4"/>
  <c r="D54" i="4"/>
  <c r="H54" i="4"/>
  <c r="D57" i="4"/>
  <c r="H57" i="4"/>
  <c r="C10" i="4"/>
  <c r="C38" i="4"/>
  <c r="I55" i="3"/>
  <c r="I56" i="3"/>
  <c r="I57" i="3"/>
  <c r="DB6" i="3"/>
  <c r="AI6" i="3"/>
  <c r="C10" i="3"/>
  <c r="N6" i="3"/>
  <c r="BY6" i="3"/>
  <c r="AP6" i="3"/>
  <c r="BR6" i="3"/>
  <c r="CG6" i="3"/>
  <c r="DI6" i="3"/>
  <c r="C38" i="3"/>
  <c r="BK6" i="3"/>
  <c r="AB6" i="3"/>
  <c r="U6" i="3"/>
  <c r="CN6" i="3"/>
  <c r="F55" i="3"/>
  <c r="F56" i="3"/>
  <c r="F57" i="3"/>
  <c r="H55" i="2"/>
  <c r="F57" i="2"/>
  <c r="J57" i="2"/>
  <c r="BH6" i="2"/>
  <c r="CR6" i="2"/>
  <c r="Y6" i="2"/>
  <c r="F56" i="2"/>
  <c r="J56" i="2"/>
  <c r="K57" i="2"/>
  <c r="F55" i="2"/>
  <c r="J55" i="2"/>
  <c r="K56" i="2"/>
  <c r="H57" i="2"/>
  <c r="Q6" i="2"/>
  <c r="AE6" i="2"/>
  <c r="AS6" i="2"/>
  <c r="BN6" i="2"/>
  <c r="CI6" i="2"/>
  <c r="CQ6" i="2"/>
  <c r="DK6" i="2"/>
  <c r="E10" i="2"/>
  <c r="BG6" i="2"/>
  <c r="CJ6" i="2"/>
  <c r="DD6" i="2"/>
  <c r="DL6" i="2"/>
  <c r="E38" i="2"/>
  <c r="AL6" i="2"/>
  <c r="C57" i="2" l="1"/>
  <c r="C55" i="5"/>
  <c r="C39" i="5"/>
  <c r="C11" i="5"/>
  <c r="CP6" i="5"/>
  <c r="W6" i="5"/>
  <c r="BF6" i="5"/>
  <c r="AR6" i="5"/>
  <c r="CA6" i="5"/>
  <c r="DK6" i="5"/>
  <c r="BS6" i="5"/>
  <c r="DC6" i="5"/>
  <c r="AJ6" i="5"/>
  <c r="BM6" i="5"/>
  <c r="AD6" i="5"/>
  <c r="CW6" i="5"/>
  <c r="CH6" i="5"/>
  <c r="O6" i="5"/>
  <c r="AX6" i="5"/>
  <c r="CO6" i="4"/>
  <c r="BE6" i="4"/>
  <c r="V6" i="4"/>
  <c r="BZ6" i="4"/>
  <c r="AQ6" i="4"/>
  <c r="DJ6" i="4"/>
  <c r="BL6" i="4"/>
  <c r="CV6" i="4"/>
  <c r="AC6" i="4"/>
  <c r="C55" i="4"/>
  <c r="C39" i="4"/>
  <c r="C11" i="4"/>
  <c r="O6" i="4"/>
  <c r="AX6" i="4"/>
  <c r="CH6" i="4"/>
  <c r="DC6" i="4"/>
  <c r="BS6" i="4"/>
  <c r="AJ6" i="4"/>
  <c r="F57" i="4"/>
  <c r="F13" i="4"/>
  <c r="F14" i="4" s="1"/>
  <c r="F15" i="4" s="1"/>
  <c r="CV6" i="3"/>
  <c r="AC6" i="3"/>
  <c r="BL6" i="3"/>
  <c r="CH6" i="3"/>
  <c r="O6" i="3"/>
  <c r="AX6" i="3"/>
  <c r="C55" i="3"/>
  <c r="C11" i="3"/>
  <c r="C39" i="3"/>
  <c r="BE6" i="3"/>
  <c r="CO6" i="3"/>
  <c r="V6" i="3"/>
  <c r="DJ6" i="3"/>
  <c r="AQ6" i="3"/>
  <c r="BZ6" i="3"/>
  <c r="BS6" i="3"/>
  <c r="DC6" i="3"/>
  <c r="AJ6" i="3"/>
  <c r="DF6" i="2"/>
  <c r="AM6" i="2"/>
  <c r="BV6" i="2"/>
  <c r="BO6" i="2"/>
  <c r="AF6" i="2"/>
  <c r="CY6" i="2"/>
  <c r="CK6" i="2"/>
  <c r="R6" i="2"/>
  <c r="BA6" i="2"/>
  <c r="CS6" i="2"/>
  <c r="Z6" i="2"/>
  <c r="BI6" i="2"/>
  <c r="DM6" i="2"/>
  <c r="CC6" i="2"/>
  <c r="AT6" i="2"/>
  <c r="E55" i="2"/>
  <c r="E39" i="2"/>
  <c r="E11" i="2"/>
  <c r="C58" i="2" l="1"/>
  <c r="C56" i="5"/>
  <c r="C40" i="5"/>
  <c r="C12" i="5"/>
  <c r="DD6" i="5"/>
  <c r="AK6" i="5"/>
  <c r="BT6" i="5"/>
  <c r="CB6" i="5"/>
  <c r="DL6" i="5"/>
  <c r="AS6" i="5"/>
  <c r="CX6" i="5"/>
  <c r="BN6" i="5"/>
  <c r="AE6" i="5"/>
  <c r="P6" i="5"/>
  <c r="CI6" i="5"/>
  <c r="AY6" i="5"/>
  <c r="X6" i="5"/>
  <c r="CQ6" i="5"/>
  <c r="BG6" i="5"/>
  <c r="C56" i="4"/>
  <c r="C40" i="4"/>
  <c r="C12" i="4"/>
  <c r="BF6" i="4"/>
  <c r="CP6" i="4"/>
  <c r="W6" i="4"/>
  <c r="BT6" i="4"/>
  <c r="DD6" i="4"/>
  <c r="AK6" i="4"/>
  <c r="AY6" i="4"/>
  <c r="CI6" i="4"/>
  <c r="P6" i="4"/>
  <c r="CW6" i="4"/>
  <c r="BM6" i="4"/>
  <c r="AD6" i="4"/>
  <c r="DK6" i="4"/>
  <c r="CA6" i="4"/>
  <c r="AR6" i="4"/>
  <c r="C56" i="3"/>
  <c r="C40" i="3"/>
  <c r="C12" i="3"/>
  <c r="BM6" i="3"/>
  <c r="AD6" i="3"/>
  <c r="CW6" i="3"/>
  <c r="CP6" i="3"/>
  <c r="W6" i="3"/>
  <c r="BF6" i="3"/>
  <c r="DD6" i="3"/>
  <c r="AK6" i="3"/>
  <c r="BT6" i="3"/>
  <c r="AR6" i="3"/>
  <c r="CA6" i="3"/>
  <c r="DK6" i="3"/>
  <c r="P6" i="3"/>
  <c r="AY6" i="3"/>
  <c r="CI6" i="3"/>
  <c r="CT6" i="2"/>
  <c r="AA6" i="2"/>
  <c r="BJ6" i="2"/>
  <c r="S6" i="2"/>
  <c r="CL6" i="2"/>
  <c r="BB6" i="2"/>
  <c r="AU6" i="2"/>
  <c r="DN6" i="2"/>
  <c r="CD6" i="2"/>
  <c r="BW6" i="2"/>
  <c r="DG6" i="2"/>
  <c r="AN6" i="2"/>
  <c r="E56" i="2"/>
  <c r="E40" i="2"/>
  <c r="E12" i="2"/>
  <c r="BP6" i="2"/>
  <c r="AG6" i="2"/>
  <c r="CZ6" i="2"/>
  <c r="C59" i="2" l="1"/>
  <c r="Y6" i="5"/>
  <c r="BH6" i="5"/>
  <c r="CR6" i="5"/>
  <c r="CY6" i="5"/>
  <c r="BO6" i="5"/>
  <c r="AF6" i="5"/>
  <c r="C57" i="5"/>
  <c r="C41" i="5"/>
  <c r="C13" i="5"/>
  <c r="CJ6" i="5"/>
  <c r="AZ6" i="5"/>
  <c r="Q6" i="5"/>
  <c r="CC6" i="5"/>
  <c r="DM6" i="5"/>
  <c r="AT6" i="5"/>
  <c r="BU6" i="5"/>
  <c r="AL6" i="5"/>
  <c r="DE6" i="5"/>
  <c r="AZ6" i="4"/>
  <c r="CJ6" i="4"/>
  <c r="Q6" i="4"/>
  <c r="BN6" i="4"/>
  <c r="AE6" i="4"/>
  <c r="CX6" i="4"/>
  <c r="C57" i="4"/>
  <c r="C41" i="4"/>
  <c r="C13" i="4"/>
  <c r="CB6" i="4"/>
  <c r="AS6" i="4"/>
  <c r="DL6" i="4"/>
  <c r="CQ6" i="4"/>
  <c r="X6" i="4"/>
  <c r="BG6" i="4"/>
  <c r="DE6" i="4"/>
  <c r="AL6" i="4"/>
  <c r="BU6" i="4"/>
  <c r="CJ6" i="3"/>
  <c r="AZ6" i="3"/>
  <c r="Q6" i="3"/>
  <c r="BG6" i="3"/>
  <c r="CQ6" i="3"/>
  <c r="X6" i="3"/>
  <c r="BU6" i="3"/>
  <c r="AL6" i="3"/>
  <c r="DE6" i="3"/>
  <c r="C57" i="3"/>
  <c r="C41" i="3"/>
  <c r="C13" i="3"/>
  <c r="DL6" i="3"/>
  <c r="AS6" i="3"/>
  <c r="CB6" i="3"/>
  <c r="CX6" i="3"/>
  <c r="BN6" i="3"/>
  <c r="AE6" i="3"/>
  <c r="BC6" i="2"/>
  <c r="CM6" i="2"/>
  <c r="T6" i="2"/>
  <c r="BX6" i="2"/>
  <c r="DH6" i="2"/>
  <c r="AO6" i="2"/>
  <c r="E57" i="2"/>
  <c r="E41" i="2"/>
  <c r="E13" i="2"/>
  <c r="AV6" i="2"/>
  <c r="CE6" i="2"/>
  <c r="DO6" i="2"/>
  <c r="BK6" i="2"/>
  <c r="CU6" i="2"/>
  <c r="DA6" i="2"/>
  <c r="BQ6" i="2"/>
  <c r="AH6" i="2"/>
  <c r="C60" i="2" l="1"/>
  <c r="BA6" i="5"/>
  <c r="CK6" i="5"/>
  <c r="R6" i="5"/>
  <c r="DN6" i="5"/>
  <c r="CD6" i="5"/>
  <c r="BP6" i="5"/>
  <c r="CZ6" i="5"/>
  <c r="DF6" i="5"/>
  <c r="AM6" i="5"/>
  <c r="BV6" i="5"/>
  <c r="C58" i="5"/>
  <c r="C42" i="5"/>
  <c r="C14" i="5"/>
  <c r="BI6" i="5"/>
  <c r="CS6" i="5"/>
  <c r="DM6" i="4"/>
  <c r="AT6" i="4"/>
  <c r="CC6" i="4"/>
  <c r="CK6" i="4"/>
  <c r="BA6" i="4"/>
  <c r="R6" i="4"/>
  <c r="BH6" i="4"/>
  <c r="CR6" i="4"/>
  <c r="Y6" i="4"/>
  <c r="DF6" i="4"/>
  <c r="BV6" i="4"/>
  <c r="AM6" i="4"/>
  <c r="C58" i="4"/>
  <c r="C42" i="4"/>
  <c r="C14" i="4"/>
  <c r="BO6" i="4"/>
  <c r="AF6" i="4"/>
  <c r="CY6" i="4"/>
  <c r="C58" i="3"/>
  <c r="C14" i="3"/>
  <c r="C42" i="3"/>
  <c r="DF6" i="3"/>
  <c r="AM6" i="3"/>
  <c r="BV6" i="3"/>
  <c r="BA6" i="3"/>
  <c r="R6" i="3"/>
  <c r="CK6" i="3"/>
  <c r="CC6" i="3"/>
  <c r="AT6" i="3"/>
  <c r="DM6" i="3"/>
  <c r="Y6" i="3"/>
  <c r="CR6" i="3"/>
  <c r="BH6" i="3"/>
  <c r="BO6" i="3"/>
  <c r="AF6" i="3"/>
  <c r="CY6" i="3"/>
  <c r="BD6" i="2"/>
  <c r="CN6" i="2"/>
  <c r="CF6" i="2"/>
  <c r="DP6" i="2"/>
  <c r="DI6" i="2"/>
  <c r="BY6" i="2"/>
  <c r="BR6" i="2"/>
  <c r="DB6" i="2"/>
  <c r="E58" i="2"/>
  <c r="E42" i="2"/>
  <c r="E14" i="2"/>
  <c r="C61" i="2" l="1"/>
  <c r="CL6" i="5"/>
  <c r="BB6" i="5"/>
  <c r="C59" i="5"/>
  <c r="C43" i="5"/>
  <c r="C15" i="5"/>
  <c r="BW6" i="5"/>
  <c r="DG6" i="5"/>
  <c r="CL6" i="4"/>
  <c r="BB6" i="4"/>
  <c r="CD6" i="4"/>
  <c r="DN6" i="4"/>
  <c r="DG6" i="4"/>
  <c r="BW6" i="4"/>
  <c r="C59" i="4"/>
  <c r="C43" i="4"/>
  <c r="C15" i="4"/>
  <c r="BP6" i="4"/>
  <c r="CZ6" i="4"/>
  <c r="CS6" i="4"/>
  <c r="BI6" i="4"/>
  <c r="CL6" i="3"/>
  <c r="BB6" i="3"/>
  <c r="DN6" i="3"/>
  <c r="CD6" i="3"/>
  <c r="C59" i="3"/>
  <c r="C43" i="3"/>
  <c r="C15" i="3"/>
  <c r="CZ6" i="3"/>
  <c r="BP6" i="3"/>
  <c r="BI6" i="3"/>
  <c r="CS6" i="3"/>
  <c r="BW6" i="3"/>
  <c r="DG6" i="3"/>
  <c r="E59" i="2"/>
  <c r="E43" i="2"/>
  <c r="E15" i="2"/>
  <c r="C62" i="2" l="1"/>
  <c r="C44" i="5"/>
  <c r="C16" i="5"/>
  <c r="C60" i="5"/>
  <c r="C44" i="4"/>
  <c r="C16" i="4"/>
  <c r="C60" i="4"/>
  <c r="C16" i="3"/>
  <c r="C44" i="3"/>
  <c r="C60" i="3"/>
  <c r="E44" i="2"/>
  <c r="E60" i="2"/>
  <c r="E16" i="2"/>
  <c r="C63" i="2" l="1"/>
  <c r="C17" i="5"/>
  <c r="C45" i="5"/>
  <c r="C61" i="5"/>
  <c r="C45" i="4"/>
  <c r="C61" i="4"/>
  <c r="C17" i="4"/>
  <c r="C17" i="3"/>
  <c r="C61" i="3"/>
  <c r="C45" i="3"/>
  <c r="E45" i="2"/>
  <c r="E17" i="2"/>
  <c r="E61" i="2"/>
  <c r="C65" i="2" l="1"/>
  <c r="C64" i="2"/>
  <c r="C46" i="5"/>
  <c r="C62" i="5"/>
  <c r="C18" i="5"/>
  <c r="C46" i="4"/>
  <c r="C62" i="4"/>
  <c r="C18" i="4"/>
  <c r="C62" i="3"/>
  <c r="C46" i="3"/>
  <c r="C18" i="3"/>
  <c r="E18" i="2"/>
  <c r="E46" i="2"/>
  <c r="E62" i="2"/>
  <c r="C47" i="5" l="1"/>
  <c r="C19" i="5"/>
  <c r="C63" i="5"/>
  <c r="C47" i="4"/>
  <c r="C63" i="4"/>
  <c r="C19" i="4"/>
  <c r="C63" i="3"/>
  <c r="C19" i="3"/>
  <c r="C47" i="3"/>
  <c r="E19" i="2"/>
  <c r="E47" i="2"/>
  <c r="E63" i="2"/>
  <c r="C48" i="5" l="1"/>
  <c r="C20" i="5"/>
  <c r="C64" i="5"/>
  <c r="C48" i="4"/>
  <c r="C20" i="4"/>
  <c r="C64" i="4"/>
  <c r="C64" i="3"/>
  <c r="C20" i="3"/>
  <c r="C48" i="3"/>
  <c r="E48" i="2"/>
  <c r="E64" i="2"/>
  <c r="E20" i="2"/>
  <c r="C49" i="5" l="1"/>
  <c r="C65" i="5"/>
  <c r="C49" i="4"/>
  <c r="C65" i="4"/>
  <c r="C65" i="3"/>
  <c r="C49" i="3"/>
  <c r="E49" i="2"/>
  <c r="E65" i="2"/>
</calcChain>
</file>

<file path=xl/sharedStrings.xml><?xml version="1.0" encoding="utf-8"?>
<sst xmlns="http://schemas.openxmlformats.org/spreadsheetml/2006/main" count="430" uniqueCount="31">
  <si>
    <t>M</t>
  </si>
  <si>
    <t>T</t>
  </si>
  <si>
    <t>W</t>
  </si>
  <si>
    <t>H</t>
  </si>
  <si>
    <t>F</t>
  </si>
  <si>
    <t>Sa</t>
  </si>
  <si>
    <t>Su</t>
  </si>
  <si>
    <t>Week</t>
  </si>
  <si>
    <t>Theme</t>
  </si>
  <si>
    <t>Intro</t>
  </si>
  <si>
    <t>Base</t>
  </si>
  <si>
    <t>Switching</t>
  </si>
  <si>
    <t>Intense</t>
  </si>
  <si>
    <t>Taper</t>
  </si>
  <si>
    <t>Working 1RM</t>
  </si>
  <si>
    <t>Percentages</t>
  </si>
  <si>
    <t>Reps</t>
  </si>
  <si>
    <t>Base +</t>
  </si>
  <si>
    <t>rest</t>
  </si>
  <si>
    <t>Test 1RM</t>
  </si>
  <si>
    <t>jumps, 
speed work, 
pause squats</t>
  </si>
  <si>
    <t>Start Date</t>
  </si>
  <si>
    <t>Finish</t>
  </si>
  <si>
    <t>Vacation</t>
  </si>
  <si>
    <t>Program (weight) x (reps) x (sets)</t>
  </si>
  <si>
    <t>TODO</t>
  </si>
  <si>
    <t>Search for switching phase programs</t>
  </si>
  <si>
    <t>Double check numbers with: http://www.smolovjr.com/smolov-squat-routine/</t>
  </si>
  <si>
    <t>WK S</t>
  </si>
  <si>
    <t>WK E</t>
  </si>
  <si>
    <t>WK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</si>
</sst>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indexed="64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1" applyNumberFormat="0" applyAlignment="0" applyProtection="0"/>
    <xf numFmtId="0" fontId="1" fillId="5" borderId="2" applyNumberFormat="0" applyFont="0" applyAlignment="0" applyProtection="0"/>
  </cellStyleXfs>
  <cellXfs count="20">
    <xf numFmtId="0" fontId="0" fillId="0" borderId="0" xfId="0"/>
    <xf numFmtId="0" fontId="4" fillId="4" borderId="1" xfId="3"/>
    <xf numFmtId="0" fontId="0" fillId="0" borderId="0" xfId="0" applyAlignment="1">
      <alignment horizontal="center"/>
    </xf>
    <xf numFmtId="2" fontId="8" fillId="0" borderId="0" xfId="0" applyNumberFormat="1" applyFont="1"/>
    <xf numFmtId="0" fontId="6" fillId="0" borderId="3" xfId="0" applyFont="1" applyBorder="1" applyAlignment="1">
      <alignment horizontal="center"/>
    </xf>
    <xf numFmtId="0" fontId="4" fillId="4" borderId="4" xfId="3" applyBorder="1"/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3" xfId="0" applyFont="1" applyBorder="1" applyAlignment="1">
      <alignment vertical="center"/>
    </xf>
    <xf numFmtId="0" fontId="5" fillId="6" borderId="3" xfId="0" applyFont="1" applyFill="1" applyBorder="1" applyAlignment="1">
      <alignment horizontal="center"/>
    </xf>
    <xf numFmtId="0" fontId="0" fillId="0" borderId="5" xfId="0" applyBorder="1" applyAlignment="1">
      <alignment vertical="center" wrapText="1"/>
    </xf>
    <xf numFmtId="0" fontId="2" fillId="2" borderId="5" xfId="1" applyBorder="1" applyAlignment="1">
      <alignment horizontal="center" vertical="center" wrapText="1"/>
    </xf>
    <xf numFmtId="0" fontId="3" fillId="3" borderId="5" xfId="2" applyBorder="1" applyAlignment="1">
      <alignment vertical="center" wrapText="1"/>
    </xf>
    <xf numFmtId="0" fontId="0" fillId="5" borderId="5" xfId="4" applyFont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/>
    </xf>
    <xf numFmtId="16" fontId="0" fillId="0" borderId="0" xfId="0" applyNumberFormat="1"/>
    <xf numFmtId="0" fontId="3" fillId="3" borderId="0" xfId="2" applyAlignment="1">
      <alignment horizontal="center" vertical="center"/>
    </xf>
    <xf numFmtId="16" fontId="3" fillId="3" borderId="0" xfId="2" applyNumberFormat="1"/>
    <xf numFmtId="0" fontId="7" fillId="7" borderId="5" xfId="0" applyFont="1" applyFill="1" applyBorder="1" applyAlignment="1">
      <alignment horizontal="center" vertical="center" wrapText="1"/>
    </xf>
    <xf numFmtId="0" fontId="4" fillId="5" borderId="2" xfId="4" applyFont="1"/>
  </cellXfs>
  <cellStyles count="5">
    <cellStyle name="Bad" xfId="2" builtinId="27"/>
    <cellStyle name="Good" xfId="1" builtinId="26"/>
    <cellStyle name="Input" xfId="3" builtinId="20"/>
    <cellStyle name="Normal" xfId="0" builtinId="0"/>
    <cellStyle name="Note" xfId="4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4EFD0-A737-44BB-9D4A-B5567BB5B33D}">
  <dimension ref="A2:DQ104"/>
  <sheetViews>
    <sheetView tabSelected="1" topLeftCell="C1" workbookViewId="0">
      <selection activeCell="DQ53" sqref="DQ53"/>
    </sheetView>
  </sheetViews>
  <sheetFormatPr defaultRowHeight="15" outlineLevelRow="1" outlineLevelCol="1" x14ac:dyDescent="0.25"/>
  <cols>
    <col min="1" max="2" width="9.140625" hidden="1" customWidth="1" outlineLevel="1"/>
    <col min="3" max="3" width="14.28515625" customWidth="1" collapsed="1"/>
    <col min="4" max="4" width="10.140625" customWidth="1"/>
    <col min="13" max="13" width="3.140625" customWidth="1"/>
    <col min="14" max="48" width="4.28515625" hidden="1" customWidth="1" outlineLevel="1"/>
    <col min="49" max="49" width="4.28515625" customWidth="1" collapsed="1"/>
    <col min="50" max="84" width="3.5703125" hidden="1" customWidth="1" outlineLevel="1"/>
    <col min="85" max="85" width="3.140625" customWidth="1" collapsed="1"/>
    <col min="86" max="120" width="3.5703125" hidden="1" customWidth="1" outlineLevel="1"/>
    <col min="121" max="121" width="9.140625" collapsed="1"/>
  </cols>
  <sheetData>
    <row r="2" spans="3:120" x14ac:dyDescent="0.25">
      <c r="D2" t="s">
        <v>21</v>
      </c>
      <c r="F2" t="s">
        <v>25</v>
      </c>
    </row>
    <row r="3" spans="3:120" x14ac:dyDescent="0.25">
      <c r="D3" s="15">
        <v>43913</v>
      </c>
      <c r="F3" t="s">
        <v>26</v>
      </c>
    </row>
    <row r="4" spans="3:120" x14ac:dyDescent="0.25">
      <c r="D4" t="s">
        <v>22</v>
      </c>
      <c r="F4" t="s">
        <v>27</v>
      </c>
    </row>
    <row r="5" spans="3:120" x14ac:dyDescent="0.25">
      <c r="D5" s="15">
        <f>D3+(13*7)-1</f>
        <v>44003</v>
      </c>
      <c r="N5" t="s">
        <v>15</v>
      </c>
      <c r="AX5" t="s">
        <v>16</v>
      </c>
      <c r="CH5" t="s">
        <v>16</v>
      </c>
    </row>
    <row r="6" spans="3:120" x14ac:dyDescent="0.25">
      <c r="F6" t="s">
        <v>14</v>
      </c>
      <c r="N6" s="2">
        <v>1</v>
      </c>
      <c r="O6" s="2">
        <f t="shared" ref="O6:T6" si="0">N6</f>
        <v>1</v>
      </c>
      <c r="P6" s="2">
        <f t="shared" si="0"/>
        <v>1</v>
      </c>
      <c r="Q6" s="2">
        <f t="shared" si="0"/>
        <v>1</v>
      </c>
      <c r="R6" s="2">
        <f t="shared" si="0"/>
        <v>1</v>
      </c>
      <c r="S6" s="2">
        <f t="shared" si="0"/>
        <v>1</v>
      </c>
      <c r="T6" s="2">
        <f t="shared" si="0"/>
        <v>1</v>
      </c>
      <c r="U6" s="2">
        <v>2</v>
      </c>
      <c r="V6" s="2">
        <f t="shared" ref="V6:AA6" si="1">U6</f>
        <v>2</v>
      </c>
      <c r="W6" s="2">
        <f t="shared" si="1"/>
        <v>2</v>
      </c>
      <c r="X6" s="2">
        <f t="shared" si="1"/>
        <v>2</v>
      </c>
      <c r="Y6" s="2">
        <f t="shared" si="1"/>
        <v>2</v>
      </c>
      <c r="Z6" s="2">
        <f t="shared" si="1"/>
        <v>2</v>
      </c>
      <c r="AA6" s="2">
        <f t="shared" si="1"/>
        <v>2</v>
      </c>
      <c r="AB6" s="2">
        <v>3</v>
      </c>
      <c r="AC6" s="2">
        <f t="shared" ref="AC6:AH6" si="2">AB6</f>
        <v>3</v>
      </c>
      <c r="AD6" s="2">
        <f t="shared" si="2"/>
        <v>3</v>
      </c>
      <c r="AE6" s="2">
        <f t="shared" si="2"/>
        <v>3</v>
      </c>
      <c r="AF6" s="2">
        <f t="shared" si="2"/>
        <v>3</v>
      </c>
      <c r="AG6" s="2">
        <f t="shared" si="2"/>
        <v>3</v>
      </c>
      <c r="AH6" s="2">
        <f t="shared" si="2"/>
        <v>3</v>
      </c>
      <c r="AI6" s="2">
        <v>4</v>
      </c>
      <c r="AJ6" s="2">
        <f t="shared" ref="AJ6:AO6" si="3">AI6</f>
        <v>4</v>
      </c>
      <c r="AK6" s="2">
        <f t="shared" si="3"/>
        <v>4</v>
      </c>
      <c r="AL6" s="2">
        <f t="shared" si="3"/>
        <v>4</v>
      </c>
      <c r="AM6" s="2">
        <f t="shared" si="3"/>
        <v>4</v>
      </c>
      <c r="AN6" s="2">
        <f t="shared" si="3"/>
        <v>4</v>
      </c>
      <c r="AO6" s="2">
        <f t="shared" si="3"/>
        <v>4</v>
      </c>
      <c r="AP6" s="2">
        <v>5</v>
      </c>
      <c r="AQ6" s="2">
        <f t="shared" ref="AQ6:AV6" si="4">AP6</f>
        <v>5</v>
      </c>
      <c r="AR6" s="2">
        <f t="shared" si="4"/>
        <v>5</v>
      </c>
      <c r="AS6" s="2">
        <f t="shared" si="4"/>
        <v>5</v>
      </c>
      <c r="AT6" s="2">
        <f t="shared" si="4"/>
        <v>5</v>
      </c>
      <c r="AU6" s="2">
        <f t="shared" si="4"/>
        <v>5</v>
      </c>
      <c r="AV6" s="2">
        <f t="shared" si="4"/>
        <v>5</v>
      </c>
      <c r="AX6" s="2">
        <f>N6</f>
        <v>1</v>
      </c>
      <c r="AY6" s="2">
        <f t="shared" ref="AY6:BN7" si="5">O6</f>
        <v>1</v>
      </c>
      <c r="AZ6" s="2">
        <f t="shared" si="5"/>
        <v>1</v>
      </c>
      <c r="BA6" s="2">
        <f t="shared" si="5"/>
        <v>1</v>
      </c>
      <c r="BB6" s="2">
        <f t="shared" si="5"/>
        <v>1</v>
      </c>
      <c r="BC6" s="2">
        <f t="shared" si="5"/>
        <v>1</v>
      </c>
      <c r="BD6" s="2">
        <f t="shared" si="5"/>
        <v>1</v>
      </c>
      <c r="BE6" s="2">
        <f t="shared" si="5"/>
        <v>2</v>
      </c>
      <c r="BF6" s="2">
        <f t="shared" si="5"/>
        <v>2</v>
      </c>
      <c r="BG6" s="2">
        <f t="shared" si="5"/>
        <v>2</v>
      </c>
      <c r="BH6" s="2">
        <f t="shared" si="5"/>
        <v>2</v>
      </c>
      <c r="BI6" s="2">
        <f t="shared" si="5"/>
        <v>2</v>
      </c>
      <c r="BJ6" s="2">
        <f t="shared" si="5"/>
        <v>2</v>
      </c>
      <c r="BK6" s="2">
        <f t="shared" si="5"/>
        <v>2</v>
      </c>
      <c r="BL6" s="2">
        <f t="shared" si="5"/>
        <v>3</v>
      </c>
      <c r="BM6" s="2">
        <f t="shared" si="5"/>
        <v>3</v>
      </c>
      <c r="BN6" s="2">
        <f t="shared" si="5"/>
        <v>3</v>
      </c>
      <c r="BO6" s="2">
        <f t="shared" ref="BO6:CD7" si="6">AE6</f>
        <v>3</v>
      </c>
      <c r="BP6" s="2">
        <f t="shared" si="6"/>
        <v>3</v>
      </c>
      <c r="BQ6" s="2">
        <f t="shared" si="6"/>
        <v>3</v>
      </c>
      <c r="BR6" s="2">
        <f t="shared" si="6"/>
        <v>3</v>
      </c>
      <c r="BS6" s="2">
        <f t="shared" si="6"/>
        <v>4</v>
      </c>
      <c r="BT6" s="2">
        <f t="shared" si="6"/>
        <v>4</v>
      </c>
      <c r="BU6" s="2">
        <f t="shared" si="6"/>
        <v>4</v>
      </c>
      <c r="BV6" s="2">
        <f t="shared" si="6"/>
        <v>4</v>
      </c>
      <c r="BW6" s="2">
        <f t="shared" si="6"/>
        <v>4</v>
      </c>
      <c r="BX6" s="2">
        <f t="shared" si="6"/>
        <v>4</v>
      </c>
      <c r="BY6" s="2">
        <f t="shared" si="6"/>
        <v>4</v>
      </c>
      <c r="BZ6" s="2">
        <f t="shared" si="6"/>
        <v>5</v>
      </c>
      <c r="CA6" s="2">
        <f t="shared" si="6"/>
        <v>5</v>
      </c>
      <c r="CB6" s="2">
        <f t="shared" si="6"/>
        <v>5</v>
      </c>
      <c r="CC6" s="2">
        <f t="shared" si="6"/>
        <v>5</v>
      </c>
      <c r="CD6" s="2">
        <f t="shared" si="6"/>
        <v>5</v>
      </c>
      <c r="CE6" s="2">
        <f t="shared" ref="CE6:CF7" si="7">AU6</f>
        <v>5</v>
      </c>
      <c r="CF6" s="2">
        <f t="shared" si="7"/>
        <v>5</v>
      </c>
      <c r="CH6" s="2">
        <f>N6</f>
        <v>1</v>
      </c>
      <c r="CI6" s="2">
        <f t="shared" ref="CI6:CX7" si="8">O6</f>
        <v>1</v>
      </c>
      <c r="CJ6" s="2">
        <f t="shared" si="8"/>
        <v>1</v>
      </c>
      <c r="CK6" s="2">
        <f t="shared" si="8"/>
        <v>1</v>
      </c>
      <c r="CL6" s="2">
        <f t="shared" si="8"/>
        <v>1</v>
      </c>
      <c r="CM6" s="2">
        <f t="shared" si="8"/>
        <v>1</v>
      </c>
      <c r="CN6" s="2">
        <f t="shared" si="8"/>
        <v>1</v>
      </c>
      <c r="CO6" s="2">
        <f t="shared" si="8"/>
        <v>2</v>
      </c>
      <c r="CP6" s="2">
        <f t="shared" si="8"/>
        <v>2</v>
      </c>
      <c r="CQ6" s="2">
        <f t="shared" si="8"/>
        <v>2</v>
      </c>
      <c r="CR6" s="2">
        <f t="shared" si="8"/>
        <v>2</v>
      </c>
      <c r="CS6" s="2">
        <f t="shared" si="8"/>
        <v>2</v>
      </c>
      <c r="CT6" s="2">
        <f t="shared" si="8"/>
        <v>2</v>
      </c>
      <c r="CU6" s="2">
        <f t="shared" si="8"/>
        <v>2</v>
      </c>
      <c r="CV6" s="2">
        <f t="shared" si="8"/>
        <v>3</v>
      </c>
      <c r="CW6" s="2">
        <f t="shared" si="8"/>
        <v>3</v>
      </c>
      <c r="CX6" s="2">
        <f t="shared" si="8"/>
        <v>3</v>
      </c>
      <c r="CY6" s="2">
        <f t="shared" ref="CY6:DN7" si="9">AE6</f>
        <v>3</v>
      </c>
      <c r="CZ6" s="2">
        <f t="shared" si="9"/>
        <v>3</v>
      </c>
      <c r="DA6" s="2">
        <f t="shared" si="9"/>
        <v>3</v>
      </c>
      <c r="DB6" s="2">
        <f t="shared" si="9"/>
        <v>3</v>
      </c>
      <c r="DC6" s="2">
        <f t="shared" si="9"/>
        <v>4</v>
      </c>
      <c r="DD6" s="2">
        <f t="shared" si="9"/>
        <v>4</v>
      </c>
      <c r="DE6" s="2">
        <f t="shared" si="9"/>
        <v>4</v>
      </c>
      <c r="DF6" s="2">
        <f t="shared" si="9"/>
        <v>4</v>
      </c>
      <c r="DG6" s="2">
        <f t="shared" si="9"/>
        <v>4</v>
      </c>
      <c r="DH6" s="2">
        <f t="shared" si="9"/>
        <v>4</v>
      </c>
      <c r="DI6" s="2">
        <f t="shared" si="9"/>
        <v>4</v>
      </c>
      <c r="DJ6" s="2">
        <f t="shared" si="9"/>
        <v>5</v>
      </c>
      <c r="DK6" s="2">
        <f t="shared" si="9"/>
        <v>5</v>
      </c>
      <c r="DL6" s="2">
        <f t="shared" si="9"/>
        <v>5</v>
      </c>
      <c r="DM6" s="2">
        <f t="shared" si="9"/>
        <v>5</v>
      </c>
      <c r="DN6" s="2">
        <f t="shared" si="9"/>
        <v>5</v>
      </c>
      <c r="DO6" s="2">
        <f t="shared" ref="DO6:DP7" si="10">AU6</f>
        <v>5</v>
      </c>
      <c r="DP6" s="2">
        <f t="shared" si="10"/>
        <v>5</v>
      </c>
    </row>
    <row r="7" spans="3:120" x14ac:dyDescent="0.25">
      <c r="C7" s="8" t="s">
        <v>17</v>
      </c>
      <c r="D7" s="4" t="s">
        <v>8</v>
      </c>
      <c r="E7" s="4" t="s">
        <v>7</v>
      </c>
      <c r="F7" s="4" t="s">
        <v>0</v>
      </c>
      <c r="G7" s="4" t="s">
        <v>1</v>
      </c>
      <c r="H7" s="4" t="s">
        <v>2</v>
      </c>
      <c r="I7" s="4" t="s">
        <v>3</v>
      </c>
      <c r="J7" s="4" t="s">
        <v>4</v>
      </c>
      <c r="K7" s="4" t="s">
        <v>5</v>
      </c>
      <c r="L7" s="4" t="s">
        <v>6</v>
      </c>
      <c r="N7" s="4" t="s">
        <v>0</v>
      </c>
      <c r="O7" s="4" t="s">
        <v>1</v>
      </c>
      <c r="P7" s="4" t="s">
        <v>2</v>
      </c>
      <c r="Q7" s="4" t="s">
        <v>3</v>
      </c>
      <c r="R7" s="4" t="s">
        <v>4</v>
      </c>
      <c r="S7" s="4" t="s">
        <v>5</v>
      </c>
      <c r="T7" s="4" t="s">
        <v>6</v>
      </c>
      <c r="U7" s="4" t="s">
        <v>0</v>
      </c>
      <c r="V7" s="4" t="s">
        <v>1</v>
      </c>
      <c r="W7" s="4" t="s">
        <v>2</v>
      </c>
      <c r="X7" s="4" t="s">
        <v>3</v>
      </c>
      <c r="Y7" s="4" t="s">
        <v>4</v>
      </c>
      <c r="Z7" s="4" t="s">
        <v>5</v>
      </c>
      <c r="AA7" s="4" t="s">
        <v>6</v>
      </c>
      <c r="AB7" s="4" t="s">
        <v>0</v>
      </c>
      <c r="AC7" s="4" t="s">
        <v>1</v>
      </c>
      <c r="AD7" s="4" t="s">
        <v>2</v>
      </c>
      <c r="AE7" s="4" t="s">
        <v>3</v>
      </c>
      <c r="AF7" s="4" t="s">
        <v>4</v>
      </c>
      <c r="AG7" s="4" t="s">
        <v>5</v>
      </c>
      <c r="AH7" s="4" t="s">
        <v>6</v>
      </c>
      <c r="AI7" s="4" t="s">
        <v>0</v>
      </c>
      <c r="AJ7" s="4" t="s">
        <v>1</v>
      </c>
      <c r="AK7" s="4" t="s">
        <v>2</v>
      </c>
      <c r="AL7" s="4" t="s">
        <v>3</v>
      </c>
      <c r="AM7" s="4" t="s">
        <v>4</v>
      </c>
      <c r="AN7" s="4" t="s">
        <v>5</v>
      </c>
      <c r="AO7" s="4" t="s">
        <v>6</v>
      </c>
      <c r="AP7" s="4" t="s">
        <v>0</v>
      </c>
      <c r="AQ7" s="4" t="s">
        <v>1</v>
      </c>
      <c r="AR7" s="4" t="s">
        <v>2</v>
      </c>
      <c r="AS7" s="4" t="s">
        <v>3</v>
      </c>
      <c r="AT7" s="4" t="s">
        <v>4</v>
      </c>
      <c r="AU7" s="4" t="s">
        <v>5</v>
      </c>
      <c r="AV7" s="4" t="s">
        <v>6</v>
      </c>
      <c r="AX7" s="4" t="str">
        <f t="shared" ref="AX7" si="11">N7</f>
        <v>M</v>
      </c>
      <c r="AY7" s="4" t="str">
        <f t="shared" si="5"/>
        <v>T</v>
      </c>
      <c r="AZ7" s="4" t="str">
        <f t="shared" si="5"/>
        <v>W</v>
      </c>
      <c r="BA7" s="4" t="str">
        <f t="shared" si="5"/>
        <v>H</v>
      </c>
      <c r="BB7" s="4" t="str">
        <f t="shared" si="5"/>
        <v>F</v>
      </c>
      <c r="BC7" s="4" t="str">
        <f t="shared" si="5"/>
        <v>Sa</v>
      </c>
      <c r="BD7" s="4" t="str">
        <f t="shared" si="5"/>
        <v>Su</v>
      </c>
      <c r="BE7" s="4" t="str">
        <f t="shared" si="5"/>
        <v>M</v>
      </c>
      <c r="BF7" s="4" t="str">
        <f t="shared" si="5"/>
        <v>T</v>
      </c>
      <c r="BG7" s="4" t="str">
        <f t="shared" si="5"/>
        <v>W</v>
      </c>
      <c r="BH7" s="4" t="str">
        <f t="shared" si="5"/>
        <v>H</v>
      </c>
      <c r="BI7" s="4" t="str">
        <f t="shared" si="5"/>
        <v>F</v>
      </c>
      <c r="BJ7" s="4" t="str">
        <f t="shared" si="5"/>
        <v>Sa</v>
      </c>
      <c r="BK7" s="4" t="str">
        <f t="shared" si="5"/>
        <v>Su</v>
      </c>
      <c r="BL7" s="4" t="str">
        <f t="shared" si="5"/>
        <v>M</v>
      </c>
      <c r="BM7" s="4" t="str">
        <f t="shared" si="5"/>
        <v>T</v>
      </c>
      <c r="BN7" s="4" t="str">
        <f t="shared" si="5"/>
        <v>W</v>
      </c>
      <c r="BO7" s="4" t="str">
        <f t="shared" si="6"/>
        <v>H</v>
      </c>
      <c r="BP7" s="4" t="str">
        <f t="shared" si="6"/>
        <v>F</v>
      </c>
      <c r="BQ7" s="4" t="str">
        <f t="shared" si="6"/>
        <v>Sa</v>
      </c>
      <c r="BR7" s="4" t="str">
        <f t="shared" si="6"/>
        <v>Su</v>
      </c>
      <c r="BS7" s="4" t="str">
        <f t="shared" si="6"/>
        <v>M</v>
      </c>
      <c r="BT7" s="4" t="str">
        <f t="shared" si="6"/>
        <v>T</v>
      </c>
      <c r="BU7" s="4" t="str">
        <f t="shared" si="6"/>
        <v>W</v>
      </c>
      <c r="BV7" s="4" t="str">
        <f t="shared" si="6"/>
        <v>H</v>
      </c>
      <c r="BW7" s="4" t="str">
        <f t="shared" si="6"/>
        <v>F</v>
      </c>
      <c r="BX7" s="4" t="str">
        <f t="shared" si="6"/>
        <v>Sa</v>
      </c>
      <c r="BY7" s="4" t="str">
        <f t="shared" si="6"/>
        <v>Su</v>
      </c>
      <c r="BZ7" s="4" t="str">
        <f t="shared" si="6"/>
        <v>M</v>
      </c>
      <c r="CA7" s="4" t="str">
        <f t="shared" si="6"/>
        <v>T</v>
      </c>
      <c r="CB7" s="4" t="str">
        <f t="shared" si="6"/>
        <v>W</v>
      </c>
      <c r="CC7" s="4" t="str">
        <f t="shared" si="6"/>
        <v>H</v>
      </c>
      <c r="CD7" s="4" t="str">
        <f t="shared" si="6"/>
        <v>F</v>
      </c>
      <c r="CE7" s="4" t="str">
        <f t="shared" si="7"/>
        <v>Sa</v>
      </c>
      <c r="CF7" s="4" t="str">
        <f t="shared" si="7"/>
        <v>Su</v>
      </c>
      <c r="CH7" s="4" t="str">
        <f t="shared" ref="CH7" si="12">N7</f>
        <v>M</v>
      </c>
      <c r="CI7" s="4" t="str">
        <f t="shared" si="8"/>
        <v>T</v>
      </c>
      <c r="CJ7" s="4" t="str">
        <f t="shared" si="8"/>
        <v>W</v>
      </c>
      <c r="CK7" s="4" t="str">
        <f t="shared" si="8"/>
        <v>H</v>
      </c>
      <c r="CL7" s="4" t="str">
        <f t="shared" si="8"/>
        <v>F</v>
      </c>
      <c r="CM7" s="4" t="str">
        <f t="shared" si="8"/>
        <v>Sa</v>
      </c>
      <c r="CN7" s="4" t="str">
        <f t="shared" si="8"/>
        <v>Su</v>
      </c>
      <c r="CO7" s="4" t="str">
        <f t="shared" si="8"/>
        <v>M</v>
      </c>
      <c r="CP7" s="4" t="str">
        <f t="shared" si="8"/>
        <v>T</v>
      </c>
      <c r="CQ7" s="4" t="str">
        <f t="shared" si="8"/>
        <v>W</v>
      </c>
      <c r="CR7" s="4" t="str">
        <f t="shared" si="8"/>
        <v>H</v>
      </c>
      <c r="CS7" s="4" t="str">
        <f t="shared" si="8"/>
        <v>F</v>
      </c>
      <c r="CT7" s="4" t="str">
        <f t="shared" si="8"/>
        <v>Sa</v>
      </c>
      <c r="CU7" s="4" t="str">
        <f t="shared" si="8"/>
        <v>Su</v>
      </c>
      <c r="CV7" s="4" t="str">
        <f t="shared" si="8"/>
        <v>M</v>
      </c>
      <c r="CW7" s="4" t="str">
        <f t="shared" si="8"/>
        <v>T</v>
      </c>
      <c r="CX7" s="4" t="str">
        <f t="shared" si="8"/>
        <v>W</v>
      </c>
      <c r="CY7" s="4" t="str">
        <f t="shared" si="9"/>
        <v>H</v>
      </c>
      <c r="CZ7" s="4" t="str">
        <f t="shared" si="9"/>
        <v>F</v>
      </c>
      <c r="DA7" s="4" t="str">
        <f t="shared" si="9"/>
        <v>Sa</v>
      </c>
      <c r="DB7" s="4" t="str">
        <f t="shared" si="9"/>
        <v>Su</v>
      </c>
      <c r="DC7" s="4" t="str">
        <f t="shared" si="9"/>
        <v>M</v>
      </c>
      <c r="DD7" s="4" t="str">
        <f t="shared" si="9"/>
        <v>T</v>
      </c>
      <c r="DE7" s="4" t="str">
        <f t="shared" si="9"/>
        <v>W</v>
      </c>
      <c r="DF7" s="4" t="str">
        <f t="shared" si="9"/>
        <v>H</v>
      </c>
      <c r="DG7" s="4" t="str">
        <f t="shared" si="9"/>
        <v>F</v>
      </c>
      <c r="DH7" s="4" t="str">
        <f t="shared" si="9"/>
        <v>Sa</v>
      </c>
      <c r="DI7" s="4" t="str">
        <f t="shared" si="9"/>
        <v>Su</v>
      </c>
      <c r="DJ7" s="4" t="str">
        <f t="shared" si="9"/>
        <v>M</v>
      </c>
      <c r="DK7" s="4" t="str">
        <f t="shared" si="9"/>
        <v>T</v>
      </c>
      <c r="DL7" s="4" t="str">
        <f t="shared" si="9"/>
        <v>W</v>
      </c>
      <c r="DM7" s="4" t="str">
        <f t="shared" si="9"/>
        <v>H</v>
      </c>
      <c r="DN7" s="4" t="str">
        <f t="shared" si="9"/>
        <v>F</v>
      </c>
      <c r="DO7" s="4" t="str">
        <f t="shared" si="10"/>
        <v>Sa</v>
      </c>
      <c r="DP7" s="4" t="str">
        <f t="shared" si="10"/>
        <v>Su</v>
      </c>
    </row>
    <row r="8" spans="3:120" x14ac:dyDescent="0.25">
      <c r="D8" s="7" t="s">
        <v>9</v>
      </c>
      <c r="E8" s="2">
        <v>1</v>
      </c>
      <c r="F8" s="19">
        <v>345</v>
      </c>
      <c r="G8" s="5">
        <f>F8</f>
        <v>345</v>
      </c>
      <c r="H8" s="5">
        <f>G8</f>
        <v>345</v>
      </c>
      <c r="I8" s="5">
        <f>H8</f>
        <v>345</v>
      </c>
      <c r="J8" s="5">
        <f>I8</f>
        <v>345</v>
      </c>
      <c r="K8" s="5">
        <f>J8</f>
        <v>345</v>
      </c>
      <c r="L8" s="5">
        <f>K8</f>
        <v>345</v>
      </c>
      <c r="N8" s="3">
        <v>0.65</v>
      </c>
      <c r="O8" s="3">
        <v>0.65</v>
      </c>
      <c r="P8" s="3">
        <v>0.7</v>
      </c>
      <c r="Q8" s="3"/>
      <c r="R8" s="3"/>
      <c r="S8" s="3"/>
      <c r="T8" s="3"/>
      <c r="U8" s="3">
        <v>0.7</v>
      </c>
      <c r="V8" s="3">
        <v>0.7</v>
      </c>
      <c r="W8" s="3">
        <v>0.75</v>
      </c>
      <c r="X8" s="3"/>
      <c r="Y8" s="3"/>
      <c r="Z8" s="3"/>
      <c r="AA8" s="3"/>
      <c r="AB8" s="3">
        <v>0.75</v>
      </c>
      <c r="AC8" s="3">
        <v>0.75</v>
      </c>
      <c r="AD8" s="3">
        <v>0.8</v>
      </c>
      <c r="AE8" s="3"/>
      <c r="AF8" s="3"/>
      <c r="AG8" s="3"/>
      <c r="AH8" s="3"/>
      <c r="AI8" s="3">
        <v>0.8</v>
      </c>
      <c r="AJ8" s="3">
        <v>0.8</v>
      </c>
      <c r="AK8" s="3">
        <v>0.9</v>
      </c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X8">
        <v>8</v>
      </c>
      <c r="AY8">
        <v>8</v>
      </c>
      <c r="AZ8">
        <v>5</v>
      </c>
      <c r="BE8">
        <v>5</v>
      </c>
      <c r="BF8">
        <v>5</v>
      </c>
      <c r="BG8">
        <v>3</v>
      </c>
      <c r="BL8">
        <v>2</v>
      </c>
      <c r="BM8">
        <v>2</v>
      </c>
      <c r="BN8">
        <v>2</v>
      </c>
      <c r="BS8">
        <v>1</v>
      </c>
      <c r="BT8">
        <v>1</v>
      </c>
      <c r="BU8">
        <v>1</v>
      </c>
      <c r="CH8">
        <v>3</v>
      </c>
      <c r="CI8">
        <v>3</v>
      </c>
      <c r="CJ8">
        <v>4</v>
      </c>
      <c r="CO8">
        <v>1</v>
      </c>
      <c r="CP8">
        <v>1</v>
      </c>
      <c r="CQ8">
        <v>1</v>
      </c>
      <c r="CV8">
        <v>2</v>
      </c>
      <c r="CW8">
        <v>2</v>
      </c>
      <c r="CX8">
        <v>2</v>
      </c>
      <c r="DC8">
        <v>1</v>
      </c>
      <c r="DD8">
        <v>1</v>
      </c>
      <c r="DE8">
        <v>1</v>
      </c>
    </row>
    <row r="9" spans="3:120" x14ac:dyDescent="0.25">
      <c r="D9" s="7" t="s">
        <v>9</v>
      </c>
      <c r="E9" s="2">
        <f>E8+1</f>
        <v>2</v>
      </c>
      <c r="F9" s="1">
        <f t="shared" ref="F9:L15" si="13">F8+$C9</f>
        <v>345</v>
      </c>
      <c r="G9" s="1">
        <f t="shared" si="13"/>
        <v>345</v>
      </c>
      <c r="H9" s="1">
        <f t="shared" si="13"/>
        <v>345</v>
      </c>
      <c r="I9" s="1">
        <f t="shared" si="13"/>
        <v>345</v>
      </c>
      <c r="J9" s="1">
        <f t="shared" si="13"/>
        <v>345</v>
      </c>
      <c r="K9" s="1">
        <f t="shared" si="13"/>
        <v>345</v>
      </c>
      <c r="L9" s="1">
        <f t="shared" si="13"/>
        <v>345</v>
      </c>
      <c r="N9" s="3">
        <v>0.8</v>
      </c>
      <c r="O9" s="3"/>
      <c r="P9" s="3">
        <v>0.82499999999999996</v>
      </c>
      <c r="Q9" s="3"/>
      <c r="R9" s="3">
        <v>0.85</v>
      </c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>
        <v>5</v>
      </c>
      <c r="AZ9">
        <v>5</v>
      </c>
      <c r="BB9">
        <v>5</v>
      </c>
      <c r="CH9">
        <v>1</v>
      </c>
      <c r="CJ9">
        <v>1</v>
      </c>
      <c r="CL9">
        <v>1</v>
      </c>
    </row>
    <row r="10" spans="3:120" x14ac:dyDescent="0.25">
      <c r="D10" s="7" t="s">
        <v>10</v>
      </c>
      <c r="E10" s="2">
        <f t="shared" ref="E10:E20" si="14">E9+1</f>
        <v>3</v>
      </c>
      <c r="F10" s="1">
        <f t="shared" si="13"/>
        <v>345</v>
      </c>
      <c r="G10" s="1">
        <f t="shared" si="13"/>
        <v>345</v>
      </c>
      <c r="H10" s="1">
        <f t="shared" si="13"/>
        <v>345</v>
      </c>
      <c r="I10" s="1">
        <f t="shared" si="13"/>
        <v>345</v>
      </c>
      <c r="J10" s="1">
        <f t="shared" si="13"/>
        <v>345</v>
      </c>
      <c r="K10" s="1">
        <f t="shared" si="13"/>
        <v>345</v>
      </c>
      <c r="L10" s="1">
        <f t="shared" si="13"/>
        <v>345</v>
      </c>
      <c r="N10" s="3">
        <v>0.7</v>
      </c>
      <c r="O10" s="3"/>
      <c r="P10" s="3">
        <v>0.75</v>
      </c>
      <c r="Q10" s="3"/>
      <c r="R10" s="3">
        <v>0.8</v>
      </c>
      <c r="S10" s="3">
        <v>0.85</v>
      </c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>
        <v>9</v>
      </c>
      <c r="AZ10">
        <v>7</v>
      </c>
      <c r="BB10">
        <v>5</v>
      </c>
      <c r="BC10">
        <v>3</v>
      </c>
      <c r="CH10">
        <v>4</v>
      </c>
      <c r="CJ10">
        <v>5</v>
      </c>
      <c r="CL10">
        <v>7</v>
      </c>
      <c r="CM10">
        <v>10</v>
      </c>
    </row>
    <row r="11" spans="3:120" x14ac:dyDescent="0.25">
      <c r="C11">
        <v>20</v>
      </c>
      <c r="D11" s="7" t="s">
        <v>10</v>
      </c>
      <c r="E11" s="2">
        <f t="shared" si="14"/>
        <v>4</v>
      </c>
      <c r="F11" s="1">
        <f t="shared" si="13"/>
        <v>365</v>
      </c>
      <c r="G11" s="1">
        <f t="shared" si="13"/>
        <v>365</v>
      </c>
      <c r="H11" s="1">
        <f t="shared" si="13"/>
        <v>365</v>
      </c>
      <c r="I11" s="1">
        <f t="shared" si="13"/>
        <v>365</v>
      </c>
      <c r="J11" s="1">
        <f t="shared" si="13"/>
        <v>365</v>
      </c>
      <c r="K11" s="1">
        <f t="shared" si="13"/>
        <v>365</v>
      </c>
      <c r="L11" s="1">
        <f t="shared" si="13"/>
        <v>365</v>
      </c>
      <c r="N11" s="3">
        <v>0.7</v>
      </c>
      <c r="O11" s="3"/>
      <c r="P11" s="3">
        <v>0.75</v>
      </c>
      <c r="Q11" s="3"/>
      <c r="R11" s="3">
        <v>0.8</v>
      </c>
      <c r="S11" s="3">
        <v>0.85</v>
      </c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>
        <v>9</v>
      </c>
      <c r="AZ11">
        <v>7</v>
      </c>
      <c r="BB11">
        <v>5</v>
      </c>
      <c r="BC11">
        <v>3</v>
      </c>
      <c r="CH11">
        <v>4</v>
      </c>
      <c r="CJ11">
        <v>5</v>
      </c>
      <c r="CL11">
        <v>7</v>
      </c>
      <c r="CM11">
        <v>10</v>
      </c>
    </row>
    <row r="12" spans="3:120" x14ac:dyDescent="0.25">
      <c r="C12">
        <v>20</v>
      </c>
      <c r="D12" s="7" t="s">
        <v>10</v>
      </c>
      <c r="E12" s="2">
        <f t="shared" si="14"/>
        <v>5</v>
      </c>
      <c r="F12" s="1">
        <f t="shared" si="13"/>
        <v>385</v>
      </c>
      <c r="G12" s="1">
        <f t="shared" si="13"/>
        <v>385</v>
      </c>
      <c r="H12" s="1">
        <f t="shared" si="13"/>
        <v>385</v>
      </c>
      <c r="I12" s="1">
        <f t="shared" si="13"/>
        <v>385</v>
      </c>
      <c r="J12" s="1">
        <f t="shared" si="13"/>
        <v>385</v>
      </c>
      <c r="K12" s="1">
        <f t="shared" si="13"/>
        <v>385</v>
      </c>
      <c r="L12" s="1">
        <f t="shared" si="13"/>
        <v>385</v>
      </c>
      <c r="N12" s="3">
        <v>0.7</v>
      </c>
      <c r="O12" s="3"/>
      <c r="P12" s="3">
        <v>0.75</v>
      </c>
      <c r="Q12" s="3"/>
      <c r="R12" s="3">
        <v>0.8</v>
      </c>
      <c r="S12" s="3">
        <v>0.85</v>
      </c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>
        <v>9</v>
      </c>
      <c r="AZ12">
        <v>7</v>
      </c>
      <c r="BB12">
        <v>5</v>
      </c>
      <c r="BC12">
        <v>3</v>
      </c>
      <c r="CH12">
        <v>4</v>
      </c>
      <c r="CJ12">
        <v>5</v>
      </c>
      <c r="CL12">
        <v>7</v>
      </c>
      <c r="CM12">
        <v>10</v>
      </c>
    </row>
    <row r="13" spans="3:120" x14ac:dyDescent="0.25">
      <c r="C13">
        <v>20</v>
      </c>
      <c r="D13" s="7" t="s">
        <v>10</v>
      </c>
      <c r="E13" s="2">
        <f t="shared" si="14"/>
        <v>6</v>
      </c>
      <c r="F13" s="1">
        <f t="shared" si="13"/>
        <v>405</v>
      </c>
      <c r="G13" s="1">
        <f t="shared" si="13"/>
        <v>405</v>
      </c>
      <c r="H13" s="1">
        <f t="shared" si="13"/>
        <v>405</v>
      </c>
      <c r="I13" s="1">
        <f t="shared" si="13"/>
        <v>405</v>
      </c>
      <c r="J13" s="1">
        <f t="shared" si="13"/>
        <v>405</v>
      </c>
      <c r="K13" s="1">
        <f t="shared" si="13"/>
        <v>405</v>
      </c>
      <c r="L13" s="1">
        <f t="shared" si="13"/>
        <v>405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</row>
    <row r="14" spans="3:120" x14ac:dyDescent="0.25">
      <c r="D14" s="7" t="s">
        <v>11</v>
      </c>
      <c r="E14" s="2">
        <f t="shared" si="14"/>
        <v>7</v>
      </c>
      <c r="F14" s="1">
        <f t="shared" si="13"/>
        <v>405</v>
      </c>
      <c r="G14" s="1">
        <f t="shared" si="13"/>
        <v>405</v>
      </c>
      <c r="H14" s="1">
        <f t="shared" si="13"/>
        <v>405</v>
      </c>
      <c r="I14" s="1">
        <f t="shared" si="13"/>
        <v>405</v>
      </c>
      <c r="J14" s="1">
        <f t="shared" si="13"/>
        <v>405</v>
      </c>
      <c r="K14" s="1">
        <f t="shared" si="13"/>
        <v>405</v>
      </c>
      <c r="L14" s="1">
        <f t="shared" si="13"/>
        <v>405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</row>
    <row r="15" spans="3:120" x14ac:dyDescent="0.25">
      <c r="D15" s="7" t="s">
        <v>11</v>
      </c>
      <c r="E15" s="2">
        <f t="shared" si="14"/>
        <v>8</v>
      </c>
      <c r="F15" s="1">
        <f t="shared" si="13"/>
        <v>405</v>
      </c>
      <c r="G15" s="1">
        <f t="shared" si="13"/>
        <v>405</v>
      </c>
      <c r="H15" s="1">
        <f t="shared" si="13"/>
        <v>405</v>
      </c>
      <c r="I15" s="1">
        <f t="shared" si="13"/>
        <v>405</v>
      </c>
      <c r="J15" s="1">
        <f t="shared" si="13"/>
        <v>405</v>
      </c>
      <c r="K15" s="1">
        <f t="shared" si="13"/>
        <v>405</v>
      </c>
      <c r="L15" s="1">
        <f t="shared" si="13"/>
        <v>405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</row>
    <row r="16" spans="3:120" x14ac:dyDescent="0.25">
      <c r="D16" s="7" t="s">
        <v>12</v>
      </c>
      <c r="E16" s="2">
        <f t="shared" si="14"/>
        <v>9</v>
      </c>
      <c r="F16" s="1">
        <v>345</v>
      </c>
      <c r="G16" s="1">
        <v>345</v>
      </c>
      <c r="H16" s="1">
        <v>345</v>
      </c>
      <c r="I16" s="1">
        <v>345</v>
      </c>
      <c r="J16" s="1">
        <v>345</v>
      </c>
      <c r="K16" s="1">
        <v>345</v>
      </c>
      <c r="L16" s="1">
        <v>345</v>
      </c>
      <c r="N16" s="3">
        <v>0.65</v>
      </c>
      <c r="O16" s="3"/>
      <c r="P16" s="3">
        <v>0.6</v>
      </c>
      <c r="Q16" s="3"/>
      <c r="R16" s="3"/>
      <c r="S16" s="3">
        <v>0.65</v>
      </c>
      <c r="T16" s="3"/>
      <c r="U16" s="3">
        <v>0.75</v>
      </c>
      <c r="V16" s="3"/>
      <c r="W16" s="3">
        <v>0.7</v>
      </c>
      <c r="X16" s="3"/>
      <c r="Y16" s="3"/>
      <c r="Z16" s="3">
        <v>0.7</v>
      </c>
      <c r="AA16" s="3"/>
      <c r="AB16" s="3">
        <v>0.85</v>
      </c>
      <c r="AC16" s="3"/>
      <c r="AD16" s="3">
        <v>0.8</v>
      </c>
      <c r="AE16" s="3"/>
      <c r="AF16" s="3"/>
      <c r="AG16" s="3">
        <v>0.8</v>
      </c>
      <c r="AH16" s="3"/>
      <c r="AI16" s="3">
        <v>0.85</v>
      </c>
      <c r="AJ16" s="3"/>
      <c r="AK16" s="3">
        <v>0.9</v>
      </c>
      <c r="AL16" s="3"/>
      <c r="AM16" s="3"/>
      <c r="AN16" s="3"/>
      <c r="AO16" s="3"/>
      <c r="AP16" s="3"/>
      <c r="AQ16" s="3"/>
      <c r="AR16" s="3">
        <v>0.85</v>
      </c>
      <c r="AS16" s="3"/>
      <c r="AT16" s="3"/>
      <c r="AU16" s="3"/>
      <c r="AV16" s="3"/>
      <c r="AW16" s="3"/>
      <c r="AX16">
        <v>3</v>
      </c>
      <c r="AZ16">
        <v>3</v>
      </c>
      <c r="BC16">
        <v>4</v>
      </c>
      <c r="BE16">
        <v>4</v>
      </c>
      <c r="BG16">
        <v>3</v>
      </c>
      <c r="BJ16">
        <v>4</v>
      </c>
      <c r="BL16">
        <v>4</v>
      </c>
      <c r="BN16">
        <v>4</v>
      </c>
      <c r="BQ16">
        <v>4</v>
      </c>
      <c r="BS16">
        <v>5</v>
      </c>
      <c r="BU16">
        <v>3</v>
      </c>
      <c r="CB16">
        <v>5</v>
      </c>
      <c r="CH16">
        <v>1</v>
      </c>
      <c r="CJ16">
        <v>1</v>
      </c>
      <c r="CM16">
        <v>1</v>
      </c>
      <c r="CO16">
        <v>1</v>
      </c>
      <c r="CQ16">
        <v>1</v>
      </c>
      <c r="CT16">
        <v>1</v>
      </c>
      <c r="CV16">
        <v>3</v>
      </c>
      <c r="CX16">
        <v>1</v>
      </c>
      <c r="DA16">
        <v>5</v>
      </c>
      <c r="DC16">
        <v>1</v>
      </c>
      <c r="DE16">
        <v>1</v>
      </c>
      <c r="DL16">
        <v>2</v>
      </c>
    </row>
    <row r="17" spans="4:116" x14ac:dyDescent="0.25">
      <c r="D17" s="7" t="s">
        <v>12</v>
      </c>
      <c r="E17" s="2">
        <f t="shared" si="14"/>
        <v>10</v>
      </c>
      <c r="F17" s="1">
        <v>345</v>
      </c>
      <c r="G17" s="1">
        <v>345</v>
      </c>
      <c r="H17" s="1">
        <v>345</v>
      </c>
      <c r="I17" s="1">
        <v>345</v>
      </c>
      <c r="J17" s="1">
        <v>345</v>
      </c>
      <c r="K17" s="1">
        <v>345</v>
      </c>
      <c r="L17" s="1">
        <v>345</v>
      </c>
      <c r="N17" s="3">
        <v>0.6</v>
      </c>
      <c r="O17" s="3"/>
      <c r="P17" s="3">
        <v>0.65</v>
      </c>
      <c r="Q17" s="3"/>
      <c r="R17" s="3"/>
      <c r="S17" s="3">
        <v>0.65</v>
      </c>
      <c r="T17" s="3"/>
      <c r="U17" s="3">
        <v>0.7</v>
      </c>
      <c r="V17" s="3"/>
      <c r="W17" s="3">
        <v>0.75</v>
      </c>
      <c r="X17" s="3"/>
      <c r="Y17" s="3"/>
      <c r="Z17" s="3">
        <v>0.75</v>
      </c>
      <c r="AA17" s="3"/>
      <c r="AB17" s="3">
        <v>0.8</v>
      </c>
      <c r="AC17" s="3"/>
      <c r="AD17" s="3">
        <v>0.85</v>
      </c>
      <c r="AE17" s="3"/>
      <c r="AF17" s="3"/>
      <c r="AG17" s="3">
        <v>0.85</v>
      </c>
      <c r="AH17" s="3"/>
      <c r="AI17" s="3">
        <v>0.9</v>
      </c>
      <c r="AJ17" s="3"/>
      <c r="AK17" s="3">
        <v>0.9</v>
      </c>
      <c r="AL17" s="3"/>
      <c r="AM17" s="3"/>
      <c r="AN17" s="3">
        <v>0.9</v>
      </c>
      <c r="AO17" s="3"/>
      <c r="AP17" s="3">
        <v>0.9</v>
      </c>
      <c r="AQ17" s="3"/>
      <c r="AR17" s="3">
        <v>0.95</v>
      </c>
      <c r="AS17" s="3"/>
      <c r="AT17" s="3"/>
      <c r="AU17" s="3"/>
      <c r="AV17" s="3"/>
      <c r="AW17" s="3"/>
      <c r="AX17">
        <v>4</v>
      </c>
      <c r="AZ17">
        <v>3</v>
      </c>
      <c r="BC17">
        <v>3</v>
      </c>
      <c r="BE17">
        <v>4</v>
      </c>
      <c r="BG17">
        <v>3</v>
      </c>
      <c r="BJ17">
        <v>3</v>
      </c>
      <c r="BL17">
        <v>4</v>
      </c>
      <c r="BN17">
        <v>3</v>
      </c>
      <c r="BQ17">
        <v>4</v>
      </c>
      <c r="BS17">
        <v>3</v>
      </c>
      <c r="BU17">
        <v>3</v>
      </c>
      <c r="BX17">
        <v>5</v>
      </c>
      <c r="BZ17">
        <v>4</v>
      </c>
      <c r="CB17">
        <v>3</v>
      </c>
      <c r="CH17">
        <v>1</v>
      </c>
      <c r="CJ17">
        <v>1</v>
      </c>
      <c r="CM17">
        <v>1</v>
      </c>
      <c r="CO17">
        <v>1</v>
      </c>
      <c r="CQ17">
        <v>1</v>
      </c>
      <c r="CT17">
        <v>1</v>
      </c>
      <c r="CV17">
        <v>1</v>
      </c>
      <c r="CX17">
        <v>1</v>
      </c>
      <c r="DA17">
        <v>1</v>
      </c>
      <c r="DC17">
        <v>1</v>
      </c>
      <c r="DE17">
        <v>3</v>
      </c>
      <c r="DH17">
        <v>4</v>
      </c>
      <c r="DJ17">
        <v>2</v>
      </c>
      <c r="DL17">
        <v>1</v>
      </c>
    </row>
    <row r="18" spans="4:116" x14ac:dyDescent="0.25">
      <c r="D18" s="7" t="s">
        <v>12</v>
      </c>
      <c r="E18" s="2">
        <f t="shared" si="14"/>
        <v>11</v>
      </c>
      <c r="F18" s="1">
        <v>345</v>
      </c>
      <c r="G18" s="1">
        <v>345</v>
      </c>
      <c r="H18" s="1">
        <v>345</v>
      </c>
      <c r="I18" s="1">
        <v>345</v>
      </c>
      <c r="J18" s="1">
        <v>345</v>
      </c>
      <c r="K18" s="1">
        <v>345</v>
      </c>
      <c r="L18" s="1">
        <v>345</v>
      </c>
      <c r="N18" s="3">
        <v>0.6</v>
      </c>
      <c r="O18" s="3"/>
      <c r="P18" s="3">
        <v>0.6</v>
      </c>
      <c r="Q18" s="3"/>
      <c r="R18" s="3"/>
      <c r="S18" s="3">
        <v>0.65</v>
      </c>
      <c r="T18" s="3"/>
      <c r="U18" s="3">
        <v>0.7</v>
      </c>
      <c r="V18" s="3"/>
      <c r="W18" s="3">
        <v>0.7</v>
      </c>
      <c r="X18" s="3"/>
      <c r="Y18" s="3"/>
      <c r="Z18" s="3">
        <v>0.75</v>
      </c>
      <c r="AA18" s="3"/>
      <c r="AB18" s="3">
        <v>0.8</v>
      </c>
      <c r="AC18" s="3"/>
      <c r="AD18" s="3">
        <v>0.8</v>
      </c>
      <c r="AE18" s="3"/>
      <c r="AF18" s="3"/>
      <c r="AG18" s="3">
        <v>0.85</v>
      </c>
      <c r="AH18" s="3"/>
      <c r="AI18" s="3">
        <v>0.9</v>
      </c>
      <c r="AJ18" s="3"/>
      <c r="AK18" s="3">
        <v>0.95</v>
      </c>
      <c r="AL18" s="3"/>
      <c r="AM18" s="3"/>
      <c r="AN18" s="3">
        <v>0.95</v>
      </c>
      <c r="AO18" s="3"/>
      <c r="AP18" s="3"/>
      <c r="AQ18" s="3"/>
      <c r="AR18" s="3"/>
      <c r="AS18" s="3"/>
      <c r="AT18" s="3"/>
      <c r="AU18" s="3"/>
      <c r="AV18" s="3"/>
      <c r="AW18" s="3"/>
      <c r="AX18">
        <v>3</v>
      </c>
      <c r="AZ18">
        <v>3</v>
      </c>
      <c r="BC18">
        <v>3</v>
      </c>
      <c r="BE18">
        <v>3</v>
      </c>
      <c r="BG18">
        <v>3</v>
      </c>
      <c r="BJ18">
        <v>3</v>
      </c>
      <c r="BL18">
        <v>3</v>
      </c>
      <c r="BN18">
        <v>3</v>
      </c>
      <c r="BQ18">
        <v>3</v>
      </c>
      <c r="BS18">
        <v>5</v>
      </c>
      <c r="BU18">
        <v>3</v>
      </c>
      <c r="BX18">
        <v>3</v>
      </c>
      <c r="CH18">
        <v>1</v>
      </c>
      <c r="CJ18">
        <v>1</v>
      </c>
      <c r="CM18">
        <v>1</v>
      </c>
      <c r="CO18">
        <v>1</v>
      </c>
      <c r="CQ18">
        <v>1</v>
      </c>
      <c r="CT18">
        <v>1</v>
      </c>
      <c r="CV18">
        <v>1</v>
      </c>
      <c r="CX18">
        <v>1</v>
      </c>
      <c r="DA18">
        <v>1</v>
      </c>
      <c r="DC18">
        <v>5</v>
      </c>
      <c r="DE18">
        <v>2</v>
      </c>
      <c r="DH18">
        <v>4</v>
      </c>
    </row>
    <row r="19" spans="4:116" x14ac:dyDescent="0.25">
      <c r="D19" s="7" t="s">
        <v>12</v>
      </c>
      <c r="E19" s="2">
        <f t="shared" si="14"/>
        <v>12</v>
      </c>
      <c r="F19" s="1">
        <v>345</v>
      </c>
      <c r="G19" s="1">
        <v>345</v>
      </c>
      <c r="H19" s="1">
        <v>345</v>
      </c>
      <c r="I19" s="1">
        <v>345</v>
      </c>
      <c r="J19" s="1">
        <v>345</v>
      </c>
      <c r="K19" s="1">
        <v>345</v>
      </c>
      <c r="L19" s="1">
        <v>345</v>
      </c>
      <c r="N19" s="3">
        <v>0.7</v>
      </c>
      <c r="O19" s="3"/>
      <c r="P19" s="3">
        <v>0.7</v>
      </c>
      <c r="Q19" s="3"/>
      <c r="R19" s="3"/>
      <c r="S19" s="3">
        <v>0.75</v>
      </c>
      <c r="T19" s="3"/>
      <c r="U19" s="3">
        <v>0.8</v>
      </c>
      <c r="V19" s="3"/>
      <c r="W19" s="3">
        <v>0.8</v>
      </c>
      <c r="X19" s="3"/>
      <c r="Y19" s="3"/>
      <c r="Z19" s="3">
        <v>0.9</v>
      </c>
      <c r="AA19" s="3"/>
      <c r="AB19" s="3">
        <v>0.9</v>
      </c>
      <c r="AC19" s="3"/>
      <c r="AD19" s="3">
        <v>0.95</v>
      </c>
      <c r="AE19" s="3"/>
      <c r="AF19" s="3"/>
      <c r="AG19" s="3">
        <v>0.95</v>
      </c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>
        <v>3</v>
      </c>
      <c r="AZ19">
        <v>3</v>
      </c>
      <c r="BC19">
        <v>3</v>
      </c>
      <c r="BE19">
        <v>3</v>
      </c>
      <c r="BG19">
        <v>3</v>
      </c>
      <c r="BJ19">
        <v>4</v>
      </c>
      <c r="BL19">
        <v>5</v>
      </c>
      <c r="BN19">
        <v>3</v>
      </c>
      <c r="BQ19">
        <v>4</v>
      </c>
      <c r="CH19">
        <v>1</v>
      </c>
      <c r="CJ19">
        <v>1</v>
      </c>
      <c r="CM19">
        <v>1</v>
      </c>
      <c r="CO19">
        <v>1</v>
      </c>
      <c r="CQ19">
        <v>1</v>
      </c>
      <c r="CT19">
        <v>1</v>
      </c>
      <c r="CV19">
        <v>5</v>
      </c>
      <c r="CX19">
        <v>4</v>
      </c>
      <c r="DA19">
        <v>3</v>
      </c>
      <c r="DH19">
        <v>3</v>
      </c>
    </row>
    <row r="20" spans="4:116" x14ac:dyDescent="0.25">
      <c r="D20" s="7" t="s">
        <v>13</v>
      </c>
      <c r="E20" s="2">
        <f t="shared" si="14"/>
        <v>13</v>
      </c>
      <c r="F20" s="1">
        <v>345</v>
      </c>
      <c r="G20" s="1">
        <v>345</v>
      </c>
      <c r="H20" s="1">
        <v>345</v>
      </c>
      <c r="I20" s="1">
        <v>345</v>
      </c>
      <c r="J20" s="1">
        <v>345</v>
      </c>
      <c r="K20" s="1">
        <v>345</v>
      </c>
      <c r="L20" s="1">
        <v>345</v>
      </c>
      <c r="N20" s="3">
        <v>0.7</v>
      </c>
      <c r="O20" s="3"/>
      <c r="P20" s="3">
        <v>0.75</v>
      </c>
      <c r="Q20" s="3"/>
      <c r="R20" s="3"/>
      <c r="S20" s="3"/>
      <c r="T20" s="3"/>
      <c r="U20" s="3">
        <v>0.8</v>
      </c>
      <c r="V20" s="3"/>
      <c r="W20" s="3">
        <v>0.85</v>
      </c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>
        <v>3</v>
      </c>
      <c r="AZ20">
        <v>4</v>
      </c>
      <c r="BE20">
        <v>3</v>
      </c>
      <c r="BG20">
        <v>4</v>
      </c>
      <c r="BL20">
        <v>5</v>
      </c>
      <c r="BS20">
        <v>4</v>
      </c>
      <c r="CH20">
        <v>1</v>
      </c>
      <c r="CJ20">
        <v>1</v>
      </c>
      <c r="CO20">
        <v>1</v>
      </c>
      <c r="CQ20">
        <v>4</v>
      </c>
      <c r="CV20">
        <v>2</v>
      </c>
      <c r="DC20">
        <v>3</v>
      </c>
    </row>
    <row r="21" spans="4:116" x14ac:dyDescent="0.25">
      <c r="D21" s="7"/>
      <c r="E21" s="2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</row>
    <row r="22" spans="4:116" hidden="1" outlineLevel="1" x14ac:dyDescent="0.25">
      <c r="D22" s="7"/>
      <c r="E22" s="4" t="s">
        <v>7</v>
      </c>
      <c r="F22" s="4" t="s">
        <v>0</v>
      </c>
      <c r="G22" s="4" t="s">
        <v>1</v>
      </c>
      <c r="H22" s="4" t="s">
        <v>2</v>
      </c>
      <c r="I22" s="4" t="s">
        <v>3</v>
      </c>
      <c r="J22" s="4" t="s">
        <v>4</v>
      </c>
      <c r="K22" s="4" t="s">
        <v>5</v>
      </c>
      <c r="L22" s="4" t="s">
        <v>6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</row>
    <row r="23" spans="4:116" hidden="1" outlineLevel="1" x14ac:dyDescent="0.25">
      <c r="D23" s="16" t="s">
        <v>23</v>
      </c>
      <c r="E23" s="2">
        <v>1</v>
      </c>
      <c r="F23" s="15">
        <f>D3</f>
        <v>43913</v>
      </c>
      <c r="G23" s="15">
        <f>F23+1</f>
        <v>43914</v>
      </c>
      <c r="H23" s="15">
        <f t="shared" ref="H23:L23" si="15">G23+1</f>
        <v>43915</v>
      </c>
      <c r="I23" s="15">
        <f t="shared" si="15"/>
        <v>43916</v>
      </c>
      <c r="J23" s="15">
        <f t="shared" si="15"/>
        <v>43917</v>
      </c>
      <c r="K23" s="15">
        <f t="shared" si="15"/>
        <v>43918</v>
      </c>
      <c r="L23" s="15">
        <f t="shared" si="15"/>
        <v>43919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</row>
    <row r="24" spans="4:116" hidden="1" outlineLevel="1" x14ac:dyDescent="0.25">
      <c r="D24" s="7"/>
      <c r="E24" s="2">
        <f>E23+1</f>
        <v>2</v>
      </c>
      <c r="F24" s="15">
        <f>L23+1</f>
        <v>43920</v>
      </c>
      <c r="G24" s="15">
        <f t="shared" ref="G24:L24" si="16">F24+1</f>
        <v>43921</v>
      </c>
      <c r="H24" s="15">
        <f t="shared" si="16"/>
        <v>43922</v>
      </c>
      <c r="I24" s="15">
        <f t="shared" si="16"/>
        <v>43923</v>
      </c>
      <c r="J24" s="15">
        <f t="shared" si="16"/>
        <v>43924</v>
      </c>
      <c r="K24" s="15">
        <f t="shared" si="16"/>
        <v>43925</v>
      </c>
      <c r="L24" s="15">
        <f t="shared" si="16"/>
        <v>43926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</row>
    <row r="25" spans="4:116" hidden="1" outlineLevel="1" x14ac:dyDescent="0.25">
      <c r="D25" s="7"/>
      <c r="E25" s="2">
        <f t="shared" ref="E25:E35" si="17">E24+1</f>
        <v>3</v>
      </c>
      <c r="F25" s="15">
        <f t="shared" ref="F25:F35" si="18">L24+1</f>
        <v>43927</v>
      </c>
      <c r="G25" s="15">
        <f t="shared" ref="G25:L25" si="19">F25+1</f>
        <v>43928</v>
      </c>
      <c r="H25" s="15">
        <f t="shared" si="19"/>
        <v>43929</v>
      </c>
      <c r="I25" s="15">
        <f t="shared" si="19"/>
        <v>43930</v>
      </c>
      <c r="J25" s="15">
        <f t="shared" si="19"/>
        <v>43931</v>
      </c>
      <c r="K25" s="15">
        <f t="shared" si="19"/>
        <v>43932</v>
      </c>
      <c r="L25" s="15">
        <f t="shared" si="19"/>
        <v>43933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</row>
    <row r="26" spans="4:116" hidden="1" outlineLevel="1" x14ac:dyDescent="0.25">
      <c r="D26" s="7"/>
      <c r="E26" s="2">
        <f t="shared" si="17"/>
        <v>4</v>
      </c>
      <c r="F26" s="15">
        <f t="shared" si="18"/>
        <v>43934</v>
      </c>
      <c r="G26" s="15">
        <f t="shared" ref="G26:L26" si="20">F26+1</f>
        <v>43935</v>
      </c>
      <c r="H26" s="15">
        <f t="shared" si="20"/>
        <v>43936</v>
      </c>
      <c r="I26" s="15">
        <f t="shared" si="20"/>
        <v>43937</v>
      </c>
      <c r="J26" s="15">
        <f t="shared" si="20"/>
        <v>43938</v>
      </c>
      <c r="K26" s="15">
        <f t="shared" si="20"/>
        <v>43939</v>
      </c>
      <c r="L26" s="15">
        <f t="shared" si="20"/>
        <v>43940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</row>
    <row r="27" spans="4:116" hidden="1" outlineLevel="1" x14ac:dyDescent="0.25">
      <c r="D27" s="7"/>
      <c r="E27" s="2">
        <f t="shared" si="17"/>
        <v>5</v>
      </c>
      <c r="F27" s="15">
        <f t="shared" si="18"/>
        <v>43941</v>
      </c>
      <c r="G27" s="15">
        <f t="shared" ref="G27:L27" si="21">F27+1</f>
        <v>43942</v>
      </c>
      <c r="H27" s="15">
        <f t="shared" si="21"/>
        <v>43943</v>
      </c>
      <c r="I27" s="15">
        <f t="shared" si="21"/>
        <v>43944</v>
      </c>
      <c r="J27" s="15">
        <f t="shared" si="21"/>
        <v>43945</v>
      </c>
      <c r="K27" s="15">
        <f t="shared" si="21"/>
        <v>43946</v>
      </c>
      <c r="L27" s="15">
        <f t="shared" si="21"/>
        <v>43947</v>
      </c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</row>
    <row r="28" spans="4:116" hidden="1" outlineLevel="1" x14ac:dyDescent="0.25">
      <c r="D28" s="7"/>
      <c r="E28" s="2">
        <f t="shared" si="17"/>
        <v>6</v>
      </c>
      <c r="F28" s="15">
        <f t="shared" si="18"/>
        <v>43948</v>
      </c>
      <c r="G28" s="15">
        <f t="shared" ref="G28:L28" si="22">F28+1</f>
        <v>43949</v>
      </c>
      <c r="H28" s="15">
        <f t="shared" si="22"/>
        <v>43950</v>
      </c>
      <c r="I28" s="15">
        <f t="shared" si="22"/>
        <v>43951</v>
      </c>
      <c r="J28" s="15">
        <f t="shared" si="22"/>
        <v>43952</v>
      </c>
      <c r="K28" s="15">
        <f t="shared" si="22"/>
        <v>43953</v>
      </c>
      <c r="L28" s="15">
        <f t="shared" si="22"/>
        <v>43954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</row>
    <row r="29" spans="4:116" hidden="1" outlineLevel="1" x14ac:dyDescent="0.25">
      <c r="D29" s="7"/>
      <c r="E29" s="2">
        <f t="shared" si="17"/>
        <v>7</v>
      </c>
      <c r="F29" s="15">
        <f t="shared" si="18"/>
        <v>43955</v>
      </c>
      <c r="G29" s="15">
        <f t="shared" ref="G29:L29" si="23">F29+1</f>
        <v>43956</v>
      </c>
      <c r="H29" s="15">
        <f t="shared" si="23"/>
        <v>43957</v>
      </c>
      <c r="I29" s="15">
        <f t="shared" si="23"/>
        <v>43958</v>
      </c>
      <c r="J29" s="15">
        <f t="shared" si="23"/>
        <v>43959</v>
      </c>
      <c r="K29" s="15">
        <f t="shared" si="23"/>
        <v>43960</v>
      </c>
      <c r="L29" s="15">
        <f t="shared" si="23"/>
        <v>43961</v>
      </c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</row>
    <row r="30" spans="4:116" hidden="1" outlineLevel="1" x14ac:dyDescent="0.25">
      <c r="D30" s="7"/>
      <c r="E30" s="2">
        <f t="shared" si="17"/>
        <v>8</v>
      </c>
      <c r="F30" s="15">
        <f t="shared" si="18"/>
        <v>43962</v>
      </c>
      <c r="G30" s="15">
        <f t="shared" ref="G30:L30" si="24">F30+1</f>
        <v>43963</v>
      </c>
      <c r="H30" s="15">
        <f t="shared" si="24"/>
        <v>43964</v>
      </c>
      <c r="I30" s="15">
        <f t="shared" si="24"/>
        <v>43965</v>
      </c>
      <c r="J30" s="15">
        <f t="shared" si="24"/>
        <v>43966</v>
      </c>
      <c r="K30" s="15">
        <f t="shared" si="24"/>
        <v>43967</v>
      </c>
      <c r="L30" s="15">
        <f t="shared" si="24"/>
        <v>43968</v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</row>
    <row r="31" spans="4:116" hidden="1" outlineLevel="1" x14ac:dyDescent="0.25">
      <c r="D31" s="7"/>
      <c r="E31" s="2">
        <f t="shared" si="17"/>
        <v>9</v>
      </c>
      <c r="F31" s="15">
        <f t="shared" si="18"/>
        <v>43969</v>
      </c>
      <c r="G31" s="15">
        <f t="shared" ref="G31:L31" si="25">F31+1</f>
        <v>43970</v>
      </c>
      <c r="H31" s="15">
        <f t="shared" si="25"/>
        <v>43971</v>
      </c>
      <c r="I31" s="15">
        <f t="shared" si="25"/>
        <v>43972</v>
      </c>
      <c r="J31" s="15">
        <f t="shared" si="25"/>
        <v>43973</v>
      </c>
      <c r="K31" s="15">
        <f t="shared" si="25"/>
        <v>43974</v>
      </c>
      <c r="L31" s="15">
        <f t="shared" si="25"/>
        <v>43975</v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</row>
    <row r="32" spans="4:116" hidden="1" outlineLevel="1" x14ac:dyDescent="0.25">
      <c r="D32" s="7"/>
      <c r="E32" s="2">
        <f t="shared" si="17"/>
        <v>10</v>
      </c>
      <c r="F32" s="15">
        <f t="shared" si="18"/>
        <v>43976</v>
      </c>
      <c r="G32" s="15">
        <f t="shared" ref="G32:L32" si="26">F32+1</f>
        <v>43977</v>
      </c>
      <c r="H32" s="15">
        <f t="shared" si="26"/>
        <v>43978</v>
      </c>
      <c r="I32" s="15">
        <f t="shared" si="26"/>
        <v>43979</v>
      </c>
      <c r="J32" s="15">
        <f t="shared" si="26"/>
        <v>43980</v>
      </c>
      <c r="K32" s="15">
        <f t="shared" si="26"/>
        <v>43981</v>
      </c>
      <c r="L32" s="15">
        <f t="shared" si="26"/>
        <v>43982</v>
      </c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</row>
    <row r="33" spans="4:49" hidden="1" outlineLevel="1" x14ac:dyDescent="0.25">
      <c r="D33" s="7"/>
      <c r="E33" s="2">
        <f t="shared" si="17"/>
        <v>11</v>
      </c>
      <c r="F33" s="15">
        <f t="shared" si="18"/>
        <v>43983</v>
      </c>
      <c r="G33" s="15">
        <f t="shared" ref="G33:L33" si="27">F33+1</f>
        <v>43984</v>
      </c>
      <c r="H33" s="15">
        <f t="shared" si="27"/>
        <v>43985</v>
      </c>
      <c r="I33" s="15">
        <f t="shared" si="27"/>
        <v>43986</v>
      </c>
      <c r="J33" s="15">
        <f t="shared" si="27"/>
        <v>43987</v>
      </c>
      <c r="K33" s="15">
        <f t="shared" si="27"/>
        <v>43988</v>
      </c>
      <c r="L33" s="15">
        <f t="shared" si="27"/>
        <v>43989</v>
      </c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</row>
    <row r="34" spans="4:49" hidden="1" outlineLevel="1" x14ac:dyDescent="0.25">
      <c r="D34" s="7"/>
      <c r="E34" s="2">
        <f t="shared" si="17"/>
        <v>12</v>
      </c>
      <c r="F34" s="17">
        <f t="shared" si="18"/>
        <v>43990</v>
      </c>
      <c r="G34" s="17">
        <f t="shared" ref="G34:L34" si="28">F34+1</f>
        <v>43991</v>
      </c>
      <c r="H34" s="17">
        <f t="shared" si="28"/>
        <v>43992</v>
      </c>
      <c r="I34" s="17">
        <f t="shared" si="28"/>
        <v>43993</v>
      </c>
      <c r="J34" s="17">
        <f t="shared" si="28"/>
        <v>43994</v>
      </c>
      <c r="K34" s="15">
        <f t="shared" si="28"/>
        <v>43995</v>
      </c>
      <c r="L34" s="15">
        <f t="shared" si="28"/>
        <v>43996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</row>
    <row r="35" spans="4:49" hidden="1" outlineLevel="1" x14ac:dyDescent="0.25">
      <c r="D35" s="7"/>
      <c r="E35" s="2">
        <f t="shared" si="17"/>
        <v>13</v>
      </c>
      <c r="F35" s="15">
        <f t="shared" si="18"/>
        <v>43997</v>
      </c>
      <c r="G35" s="15">
        <f t="shared" ref="G35:L35" si="29">F35+1</f>
        <v>43998</v>
      </c>
      <c r="H35" s="15">
        <f t="shared" si="29"/>
        <v>43999</v>
      </c>
      <c r="I35" s="15">
        <f t="shared" si="29"/>
        <v>44000</v>
      </c>
      <c r="J35" s="15">
        <f t="shared" si="29"/>
        <v>44001</v>
      </c>
      <c r="K35" s="15">
        <f t="shared" si="29"/>
        <v>44002</v>
      </c>
      <c r="L35" s="15">
        <f t="shared" si="29"/>
        <v>44003</v>
      </c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</row>
    <row r="36" spans="4:49" collapsed="1" x14ac:dyDescent="0.25">
      <c r="E36" s="2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</row>
    <row r="37" spans="4:49" hidden="1" outlineLevel="1" x14ac:dyDescent="0.25">
      <c r="E37" s="2">
        <f t="shared" ref="E37:E49" si="30">E8</f>
        <v>1</v>
      </c>
      <c r="F37">
        <f t="shared" ref="F37:F49" si="31">COUNTA(N8,U8,AB8,AI8,AP8)</f>
        <v>4</v>
      </c>
      <c r="G37">
        <f t="shared" ref="G37:L37" si="32">COUNTA(O8,V8,AC8,AJ8,AQ8)</f>
        <v>4</v>
      </c>
      <c r="H37">
        <f t="shared" si="32"/>
        <v>4</v>
      </c>
      <c r="I37">
        <f t="shared" si="32"/>
        <v>0</v>
      </c>
      <c r="J37">
        <f t="shared" si="32"/>
        <v>0</v>
      </c>
      <c r="K37">
        <f t="shared" si="32"/>
        <v>0</v>
      </c>
      <c r="L37">
        <f t="shared" si="32"/>
        <v>0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</row>
    <row r="38" spans="4:49" hidden="1" outlineLevel="1" x14ac:dyDescent="0.25">
      <c r="E38" s="2">
        <f t="shared" si="30"/>
        <v>2</v>
      </c>
      <c r="F38">
        <f t="shared" si="31"/>
        <v>1</v>
      </c>
      <c r="G38">
        <f t="shared" ref="G38:G49" si="33">COUNTA(O9,V9,AC9,AJ9,AQ9)</f>
        <v>0</v>
      </c>
      <c r="H38">
        <f t="shared" ref="H38:H49" si="34">COUNTA(P9,W9,AD9,AK9,AR9)</f>
        <v>1</v>
      </c>
      <c r="I38">
        <f t="shared" ref="I38:I49" si="35">COUNTA(Q9,X9,AE9,AL9,AS9)</f>
        <v>0</v>
      </c>
      <c r="J38">
        <f t="shared" ref="J38:J49" si="36">COUNTA(R9,Y9,AF9,AM9,AT9)</f>
        <v>1</v>
      </c>
      <c r="K38">
        <f t="shared" ref="K38:K49" si="37">COUNTA(S9,Z9,AG9,AN9,AU9)</f>
        <v>0</v>
      </c>
      <c r="L38">
        <f t="shared" ref="L38:L49" si="38">COUNTA(T9,AA9,AH9,AO9,AV9)</f>
        <v>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</row>
    <row r="39" spans="4:49" hidden="1" outlineLevel="1" x14ac:dyDescent="0.25">
      <c r="E39" s="2">
        <f t="shared" si="30"/>
        <v>3</v>
      </c>
      <c r="F39">
        <f t="shared" si="31"/>
        <v>1</v>
      </c>
      <c r="G39">
        <f t="shared" si="33"/>
        <v>0</v>
      </c>
      <c r="H39">
        <f t="shared" si="34"/>
        <v>1</v>
      </c>
      <c r="I39">
        <f t="shared" si="35"/>
        <v>0</v>
      </c>
      <c r="J39">
        <f t="shared" si="36"/>
        <v>1</v>
      </c>
      <c r="K39">
        <f t="shared" si="37"/>
        <v>1</v>
      </c>
      <c r="L39">
        <f t="shared" si="38"/>
        <v>0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</row>
    <row r="40" spans="4:49" hidden="1" outlineLevel="1" x14ac:dyDescent="0.25">
      <c r="E40" s="2">
        <f t="shared" si="30"/>
        <v>4</v>
      </c>
      <c r="F40">
        <f t="shared" si="31"/>
        <v>1</v>
      </c>
      <c r="G40">
        <f t="shared" si="33"/>
        <v>0</v>
      </c>
      <c r="H40">
        <f t="shared" si="34"/>
        <v>1</v>
      </c>
      <c r="I40">
        <f t="shared" si="35"/>
        <v>0</v>
      </c>
      <c r="J40">
        <f t="shared" si="36"/>
        <v>1</v>
      </c>
      <c r="K40">
        <f t="shared" si="37"/>
        <v>1</v>
      </c>
      <c r="L40">
        <f t="shared" si="38"/>
        <v>0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</row>
    <row r="41" spans="4:49" hidden="1" outlineLevel="1" x14ac:dyDescent="0.25">
      <c r="E41" s="2">
        <f t="shared" si="30"/>
        <v>5</v>
      </c>
      <c r="F41">
        <f t="shared" si="31"/>
        <v>1</v>
      </c>
      <c r="G41">
        <f t="shared" si="33"/>
        <v>0</v>
      </c>
      <c r="H41">
        <f t="shared" si="34"/>
        <v>1</v>
      </c>
      <c r="I41">
        <f t="shared" si="35"/>
        <v>0</v>
      </c>
      <c r="J41">
        <f t="shared" si="36"/>
        <v>1</v>
      </c>
      <c r="K41">
        <f t="shared" si="37"/>
        <v>1</v>
      </c>
      <c r="L41">
        <f t="shared" si="38"/>
        <v>0</v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</row>
    <row r="42" spans="4:49" hidden="1" outlineLevel="1" x14ac:dyDescent="0.25">
      <c r="E42" s="2">
        <f t="shared" si="30"/>
        <v>6</v>
      </c>
      <c r="F42">
        <f t="shared" si="31"/>
        <v>0</v>
      </c>
      <c r="G42">
        <f t="shared" si="33"/>
        <v>0</v>
      </c>
      <c r="H42">
        <f t="shared" si="34"/>
        <v>0</v>
      </c>
      <c r="I42">
        <f t="shared" si="35"/>
        <v>0</v>
      </c>
      <c r="J42">
        <f t="shared" si="36"/>
        <v>0</v>
      </c>
      <c r="K42">
        <f t="shared" si="37"/>
        <v>0</v>
      </c>
      <c r="L42">
        <f t="shared" si="38"/>
        <v>0</v>
      </c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</row>
    <row r="43" spans="4:49" hidden="1" outlineLevel="1" x14ac:dyDescent="0.25">
      <c r="E43" s="2">
        <f t="shared" si="30"/>
        <v>7</v>
      </c>
      <c r="F43">
        <f t="shared" si="31"/>
        <v>0</v>
      </c>
      <c r="G43">
        <f t="shared" si="33"/>
        <v>0</v>
      </c>
      <c r="H43">
        <f t="shared" si="34"/>
        <v>0</v>
      </c>
      <c r="I43">
        <f t="shared" si="35"/>
        <v>0</v>
      </c>
      <c r="J43">
        <f t="shared" si="36"/>
        <v>0</v>
      </c>
      <c r="K43">
        <f t="shared" si="37"/>
        <v>0</v>
      </c>
      <c r="L43">
        <f t="shared" si="38"/>
        <v>0</v>
      </c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</row>
    <row r="44" spans="4:49" hidden="1" outlineLevel="1" x14ac:dyDescent="0.25">
      <c r="E44" s="2">
        <f t="shared" si="30"/>
        <v>8</v>
      </c>
      <c r="F44">
        <f t="shared" si="31"/>
        <v>0</v>
      </c>
      <c r="G44">
        <f t="shared" si="33"/>
        <v>0</v>
      </c>
      <c r="H44">
        <f t="shared" si="34"/>
        <v>0</v>
      </c>
      <c r="I44">
        <f t="shared" si="35"/>
        <v>0</v>
      </c>
      <c r="J44">
        <f t="shared" si="36"/>
        <v>0</v>
      </c>
      <c r="K44">
        <f t="shared" si="37"/>
        <v>0</v>
      </c>
      <c r="L44">
        <f t="shared" si="38"/>
        <v>0</v>
      </c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</row>
    <row r="45" spans="4:49" hidden="1" outlineLevel="1" x14ac:dyDescent="0.25">
      <c r="E45" s="2">
        <f t="shared" si="30"/>
        <v>9</v>
      </c>
      <c r="F45">
        <f t="shared" si="31"/>
        <v>4</v>
      </c>
      <c r="G45">
        <f t="shared" si="33"/>
        <v>0</v>
      </c>
      <c r="H45">
        <f t="shared" si="34"/>
        <v>5</v>
      </c>
      <c r="I45">
        <f t="shared" si="35"/>
        <v>0</v>
      </c>
      <c r="J45">
        <f t="shared" si="36"/>
        <v>0</v>
      </c>
      <c r="K45">
        <f t="shared" si="37"/>
        <v>3</v>
      </c>
      <c r="L45">
        <f t="shared" si="38"/>
        <v>0</v>
      </c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</row>
    <row r="46" spans="4:49" hidden="1" outlineLevel="1" x14ac:dyDescent="0.25">
      <c r="E46" s="2">
        <f t="shared" si="30"/>
        <v>10</v>
      </c>
      <c r="F46">
        <f t="shared" si="31"/>
        <v>5</v>
      </c>
      <c r="G46">
        <f t="shared" si="33"/>
        <v>0</v>
      </c>
      <c r="H46">
        <f t="shared" si="34"/>
        <v>5</v>
      </c>
      <c r="I46">
        <f t="shared" si="35"/>
        <v>0</v>
      </c>
      <c r="J46">
        <f t="shared" si="36"/>
        <v>0</v>
      </c>
      <c r="K46">
        <f t="shared" si="37"/>
        <v>4</v>
      </c>
      <c r="L46">
        <f t="shared" si="38"/>
        <v>0</v>
      </c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</row>
    <row r="47" spans="4:49" hidden="1" outlineLevel="1" x14ac:dyDescent="0.25">
      <c r="E47" s="2">
        <f t="shared" si="30"/>
        <v>11</v>
      </c>
      <c r="F47">
        <f t="shared" si="31"/>
        <v>4</v>
      </c>
      <c r="G47">
        <f t="shared" si="33"/>
        <v>0</v>
      </c>
      <c r="H47">
        <f t="shared" si="34"/>
        <v>4</v>
      </c>
      <c r="I47">
        <f t="shared" si="35"/>
        <v>0</v>
      </c>
      <c r="J47">
        <f t="shared" si="36"/>
        <v>0</v>
      </c>
      <c r="K47">
        <f t="shared" si="37"/>
        <v>4</v>
      </c>
      <c r="L47">
        <f t="shared" si="38"/>
        <v>0</v>
      </c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</row>
    <row r="48" spans="4:49" hidden="1" outlineLevel="1" x14ac:dyDescent="0.25">
      <c r="E48" s="2">
        <f t="shared" si="30"/>
        <v>12</v>
      </c>
      <c r="F48">
        <f t="shared" si="31"/>
        <v>3</v>
      </c>
      <c r="G48">
        <f t="shared" si="33"/>
        <v>0</v>
      </c>
      <c r="H48">
        <f t="shared" si="34"/>
        <v>3</v>
      </c>
      <c r="I48">
        <f t="shared" si="35"/>
        <v>0</v>
      </c>
      <c r="J48">
        <f t="shared" si="36"/>
        <v>0</v>
      </c>
      <c r="K48">
        <f t="shared" si="37"/>
        <v>3</v>
      </c>
      <c r="L48">
        <f t="shared" si="38"/>
        <v>0</v>
      </c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</row>
    <row r="49" spans="1:49" hidden="1" outlineLevel="1" x14ac:dyDescent="0.25">
      <c r="E49" s="2">
        <f t="shared" si="30"/>
        <v>13</v>
      </c>
      <c r="F49">
        <f t="shared" si="31"/>
        <v>2</v>
      </c>
      <c r="G49">
        <f t="shared" si="33"/>
        <v>0</v>
      </c>
      <c r="H49">
        <f t="shared" si="34"/>
        <v>2</v>
      </c>
      <c r="I49">
        <f t="shared" si="35"/>
        <v>0</v>
      </c>
      <c r="J49">
        <f t="shared" si="36"/>
        <v>0</v>
      </c>
      <c r="K49">
        <f t="shared" si="37"/>
        <v>0</v>
      </c>
      <c r="L49">
        <f t="shared" si="38"/>
        <v>0</v>
      </c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</row>
    <row r="50" spans="1:49" collapsed="1" x14ac:dyDescent="0.25">
      <c r="E50" s="2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</row>
    <row r="51" spans="1:49" x14ac:dyDescent="0.25">
      <c r="F51" s="6" t="s">
        <v>24</v>
      </c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</row>
    <row r="52" spans="1:49" x14ac:dyDescent="0.25">
      <c r="A52" t="s">
        <v>28</v>
      </c>
      <c r="B52" t="s">
        <v>29</v>
      </c>
      <c r="C52" s="9" t="s">
        <v>30</v>
      </c>
      <c r="D52" s="9" t="s">
        <v>8</v>
      </c>
      <c r="E52" s="9" t="s">
        <v>7</v>
      </c>
      <c r="F52" s="9" t="s">
        <v>0</v>
      </c>
      <c r="G52" s="9" t="s">
        <v>1</v>
      </c>
      <c r="H52" s="9" t="s">
        <v>2</v>
      </c>
      <c r="I52" s="9" t="s">
        <v>3</v>
      </c>
      <c r="J52" s="9" t="s">
        <v>4</v>
      </c>
      <c r="K52" s="9" t="s">
        <v>5</v>
      </c>
      <c r="L52" s="9" t="s">
        <v>6</v>
      </c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</row>
    <row r="53" spans="1:49" ht="60" x14ac:dyDescent="0.25">
      <c r="A53" s="15">
        <v>43913</v>
      </c>
      <c r="B53" s="15">
        <f>A53+6</f>
        <v>43919</v>
      </c>
      <c r="C53" s="18" t="str">
        <f>TEXT(A53,"MM/DD")&amp;" ~ "&amp;TEXT(B53,"MM/DD")</f>
        <v>03/23 ~ 03/29</v>
      </c>
      <c r="D53" s="14" t="s">
        <v>9</v>
      </c>
      <c r="E53" s="14">
        <f t="shared" ref="E53:E65" si="39">E8</f>
        <v>1</v>
      </c>
      <c r="F53" s="10" t="str">
        <f>IF(F37=0,
"",
IF(F37=1,
ROUND(F8*N8,0)&amp;"x"&amp;AX8&amp;"x"&amp;CH8,
IF(F37=2,
ROUND(F8*N8,0)&amp;"x"&amp;AX8&amp;"x"&amp;CH8&amp;CHAR(10)&amp;ROUND(F8*U8,0)&amp;"x"&amp;BE8&amp;"x"&amp;CO8,
IF(F37=3,
ROUND(F8*N8,0)&amp;"x"&amp;AX8&amp;"x"&amp;CH8&amp;CHAR(10)&amp;ROUND(F8*U8,0)&amp;"x"&amp;BE8&amp;"x"&amp;CO8&amp;CHAR(10)&amp;ROUND(F8*AB8,0)&amp;"x"&amp;BL8&amp;"x"&amp;CV8,
IF(F37=4,
ROUND(F8*N8,0)&amp;"x"&amp;AX8&amp;"x"&amp;CH8&amp;CHAR(10)&amp;ROUND(F8*U8,0)&amp;"x"&amp;BE8&amp;"x"&amp;CO8&amp;CHAR(10)&amp;ROUND(F8*AB8,0)&amp;"x"&amp;BL8&amp;"x"&amp;CV8&amp;CHAR(10)&amp;ROUND(F8*AI8,0)&amp;"x"&amp;BS8&amp;"x"&amp;DC8,
ROUND(F8*N8,0)&amp;"x"&amp;AX8&amp;"x"&amp;CH8&amp;CHAR(10)&amp;ROUND(F8*U8,0)&amp;"x"&amp;BE8&amp;"x"&amp;CO8&amp;CHAR(10)&amp;ROUND(F8*AB8,0)&amp;"x"&amp;BL8&amp;"x"&amp;CV8&amp;CHAR(10)&amp;ROUND(F8*AI8,0)&amp;"x"&amp;BS8&amp;"x"&amp;DC8&amp;CHAR(10)&amp;ROUND(F8*AP8,0)&amp;"x"&amp;BZ8&amp;"x"&amp;DJ8
)))))</f>
        <v>224x8x3
242x5x1
259x2x2
276x1x1</v>
      </c>
      <c r="G53" s="10" t="str">
        <f t="shared" ref="G53:L53" si="40">IF(G37=0,
"",
IF(G37=1,
ROUND(G8*O8,0)&amp;"x"&amp;AY8&amp;"x"&amp;CI8,
IF(G37=2,
ROUND(G8*O8,0)&amp;"x"&amp;AY8&amp;"x"&amp;CI8&amp;CHAR(10)&amp;ROUND(G8*V8,0)&amp;"x"&amp;BF8&amp;"x"&amp;CP8,
IF(G37=3,
ROUND(G8*O8,0)&amp;"x"&amp;AY8&amp;"x"&amp;CI8&amp;CHAR(10)&amp;ROUND(G8*V8,0)&amp;"x"&amp;BF8&amp;"x"&amp;CP8&amp;CHAR(10)&amp;ROUND(G8*AC8,0)&amp;"x"&amp;BM8&amp;"x"&amp;CW8,
IF(G37=4,
ROUND(G8*O8,0)&amp;"x"&amp;AY8&amp;"x"&amp;CI8&amp;CHAR(10)&amp;ROUND(G8*V8,0)&amp;"x"&amp;BF8&amp;"x"&amp;CP8&amp;CHAR(10)&amp;ROUND(G8*AC8,0)&amp;"x"&amp;BM8&amp;"x"&amp;CW8&amp;CHAR(10)&amp;ROUND(G8*AJ8,0)&amp;"x"&amp;BT8&amp;"x"&amp;DD8,
ROUND(G8*O8,0)&amp;"x"&amp;AY8&amp;"x"&amp;CI8&amp;CHAR(10)&amp;ROUND(G8*V8,0)&amp;"x"&amp;BF8&amp;"x"&amp;CP8&amp;CHAR(10)&amp;ROUND(G8*AC8,0)&amp;"x"&amp;BM8&amp;"x"&amp;CW8&amp;CHAR(10)&amp;ROUND(G8*AJ8,0)&amp;"x"&amp;BT8&amp;"x"&amp;DD8&amp;CHAR(10)&amp;ROUND(G8*AQ8,0)&amp;"x"&amp;CA8&amp;"x"&amp;DK8
)))))</f>
        <v>224x8x3
242x5x1
259x2x2
276x1x1</v>
      </c>
      <c r="H53" s="10" t="str">
        <f t="shared" si="40"/>
        <v>242x5x4
259x3x1
276x2x2
311x1x1</v>
      </c>
      <c r="I53" s="10" t="str">
        <f t="shared" si="40"/>
        <v/>
      </c>
      <c r="J53" s="10" t="str">
        <f t="shared" si="40"/>
        <v/>
      </c>
      <c r="K53" s="10" t="str">
        <f t="shared" si="40"/>
        <v/>
      </c>
      <c r="L53" s="10" t="str">
        <f t="shared" si="40"/>
        <v/>
      </c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</row>
    <row r="54" spans="1:49" x14ac:dyDescent="0.25">
      <c r="A54" s="15">
        <f>A53+7</f>
        <v>43920</v>
      </c>
      <c r="B54" s="15">
        <f t="shared" ref="B54:B65" si="41">A54+6</f>
        <v>43926</v>
      </c>
      <c r="C54" s="18" t="str">
        <f t="shared" ref="C54:C65" si="42">TEXT(A54,"MM/DD")&amp;" ~ "&amp;TEXT(B54,"MM/DD")</f>
        <v>03/30 ~ 04/05</v>
      </c>
      <c r="D54" s="14" t="s">
        <v>9</v>
      </c>
      <c r="E54" s="14">
        <f t="shared" si="39"/>
        <v>2</v>
      </c>
      <c r="F54" s="10" t="str">
        <f>IF(F38=0,
"",
IF(F38=1,
ROUND(F9*N9,0)&amp;"x"&amp;AX9&amp;"x"&amp;CH9,
IF(F38=2,
ROUND(F9*N9,0)&amp;"x"&amp;AX9&amp;"x"&amp;CH9&amp;CHAR(10)&amp;ROUND(F9*U9,0)&amp;"x"&amp;BE9&amp;"x"&amp;CO9,
IF(F38=3,
ROUND(F9*N9,0)&amp;"x"&amp;AX9&amp;"x"&amp;CH9&amp;CHAR(10)&amp;ROUND(F9*U9,0)&amp;"x"&amp;BE9&amp;"x"&amp;CO9&amp;CHAR(10)&amp;ROUND(F9*AB9,0)&amp;"x"&amp;BL9&amp;"x"&amp;CV9,
IF(F38=4,
ROUND(F9*N9,0)&amp;"x"&amp;AX9&amp;"x"&amp;CH9&amp;CHAR(10)&amp;ROUND(F9*U9,0)&amp;"x"&amp;BE9&amp;"x"&amp;CO9&amp;CHAR(10)&amp;ROUND(F9*AB9,0)&amp;"x"&amp;BL9&amp;"x"&amp;CV9&amp;CHAR(10)&amp;ROUND(F9*AI9,0)&amp;"x"&amp;BS9&amp;"x"&amp;DC9,
ROUND(F9*N9,0)&amp;"x"&amp;AX9&amp;"x"&amp;CH9&amp;CHAR(10)&amp;ROUND(F9*U9,0)&amp;"x"&amp;BE9&amp;"x"&amp;CO9&amp;CHAR(10)&amp;ROUND(F9*AB9,0)&amp;"x"&amp;BL9&amp;"x"&amp;CV9&amp;CHAR(10)&amp;ROUND(F9*AI9,0)&amp;"x"&amp;BS9&amp;"x"&amp;DC9&amp;CHAR(10)&amp;ROUND(F9*AP9,0)&amp;"x"&amp;BZ9&amp;"x"&amp;DJ9
)))))</f>
        <v>276x5x1</v>
      </c>
      <c r="G54" s="10" t="str">
        <f t="shared" ref="G54:L57" si="43">IF(G38=0,
"",
IF(G38=1,
ROUND(G9*O9,0)&amp;"x"&amp;AY9&amp;"x"&amp;CI9,
IF(G38=2,
ROUND(G9*O9,0)&amp;"x"&amp;AY9&amp;"x"&amp;CI9&amp;CHAR(10)&amp;ROUND(G9*V9,0)&amp;"x"&amp;BF9&amp;"x"&amp;CP9,
IF(G38=3,
ROUND(G9*O9,0)&amp;"x"&amp;AY9&amp;"x"&amp;CI9&amp;CHAR(10)&amp;ROUND(G9*V9,0)&amp;"x"&amp;BF9&amp;"x"&amp;CP9&amp;CHAR(10)&amp;ROUND(G9*AC9,0)&amp;"x"&amp;BM9&amp;"x"&amp;CW9,
IF(G38=4,
ROUND(G9*O9,0)&amp;"x"&amp;AY9&amp;"x"&amp;CI9&amp;CHAR(10)&amp;ROUND(G9*V9,0)&amp;"x"&amp;BF9&amp;"x"&amp;CP9&amp;CHAR(10)&amp;ROUND(G9*AC9,0)&amp;"x"&amp;BM9&amp;"x"&amp;CW9&amp;CHAR(10)&amp;ROUND(G9*AJ9,0)&amp;"x"&amp;BT9&amp;"x"&amp;DD9,
ROUND(G9*O9,0)&amp;"x"&amp;AY9&amp;"x"&amp;CI9&amp;CHAR(10)&amp;ROUND(G9*V9,0)&amp;"x"&amp;BF9&amp;"x"&amp;CP9&amp;CHAR(10)&amp;ROUND(G9*AC9,0)&amp;"x"&amp;BM9&amp;"x"&amp;CW9&amp;CHAR(10)&amp;ROUND(G9*AJ9,0)&amp;"x"&amp;BT9&amp;"x"&amp;DD9&amp;CHAR(10)&amp;ROUND(G9*AQ9,0)&amp;"x"&amp;CA9&amp;"x"&amp;DK9
)))))</f>
        <v/>
      </c>
      <c r="H54" s="10" t="str">
        <f t="shared" si="43"/>
        <v>285x5x1</v>
      </c>
      <c r="I54" s="10" t="str">
        <f t="shared" si="43"/>
        <v/>
      </c>
      <c r="J54" s="10" t="str">
        <f t="shared" si="43"/>
        <v>293x5x1</v>
      </c>
      <c r="K54" s="10" t="str">
        <f t="shared" si="43"/>
        <v/>
      </c>
      <c r="L54" s="10" t="str">
        <f t="shared" si="43"/>
        <v/>
      </c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</row>
    <row r="55" spans="1:49" x14ac:dyDescent="0.25">
      <c r="A55" s="15">
        <f t="shared" ref="A55:A65" si="44">A54+7</f>
        <v>43927</v>
      </c>
      <c r="B55" s="15">
        <f t="shared" si="41"/>
        <v>43933</v>
      </c>
      <c r="C55" s="18" t="str">
        <f t="shared" si="42"/>
        <v>04/06 ~ 04/12</v>
      </c>
      <c r="D55" s="14" t="s">
        <v>10</v>
      </c>
      <c r="E55" s="14">
        <f t="shared" si="39"/>
        <v>3</v>
      </c>
      <c r="F55" s="10" t="str">
        <f>IF(F39=0,
"",
IF(F39=1,
ROUND(F10*N10,0)&amp;"x"&amp;AX10&amp;"x"&amp;CH10,
IF(F39=2,
ROUND(F10*N10,0)&amp;"x"&amp;AX10&amp;"x"&amp;CH10&amp;CHAR(10)&amp;ROUND(F10*U10,0)&amp;"x"&amp;BE10&amp;"x"&amp;CO10,
IF(F39=3,
ROUND(F10*N10,0)&amp;"x"&amp;AX10&amp;"x"&amp;CH10&amp;CHAR(10)&amp;ROUND(F10*U10,0)&amp;"x"&amp;BE10&amp;"x"&amp;CO10&amp;CHAR(10)&amp;ROUND(F10*AB10,0)&amp;"x"&amp;BL10&amp;"x"&amp;CV10,
IF(F39=4,
ROUND(F10*N10,0)&amp;"x"&amp;AX10&amp;"x"&amp;CH10&amp;CHAR(10)&amp;ROUND(F10*U10,0)&amp;"x"&amp;BE10&amp;"x"&amp;CO10&amp;CHAR(10)&amp;ROUND(F10*AB10,0)&amp;"x"&amp;BL10&amp;"x"&amp;CV10&amp;CHAR(10)&amp;ROUND(F10*AI10,0)&amp;"x"&amp;BS10&amp;"x"&amp;DC10,
ROUND(F10*N10,0)&amp;"x"&amp;AX10&amp;"x"&amp;CH10&amp;CHAR(10)&amp;ROUND(F10*U10,0)&amp;"x"&amp;BE10&amp;"x"&amp;CO10&amp;CHAR(10)&amp;ROUND(F10*AB10,0)&amp;"x"&amp;BL10&amp;"x"&amp;CV10&amp;CHAR(10)&amp;ROUND(F10*AI10,0)&amp;"x"&amp;BS10&amp;"x"&amp;DC10&amp;CHAR(10)&amp;ROUND(F10*AP10,0)&amp;"x"&amp;BZ10&amp;"x"&amp;DJ10
)))))</f>
        <v>242x9x4</v>
      </c>
      <c r="G55" s="10" t="str">
        <f t="shared" si="43"/>
        <v/>
      </c>
      <c r="H55" s="10" t="str">
        <f t="shared" si="43"/>
        <v>259x7x5</v>
      </c>
      <c r="I55" s="10" t="str">
        <f t="shared" si="43"/>
        <v/>
      </c>
      <c r="J55" s="10" t="str">
        <f t="shared" si="43"/>
        <v>276x5x7</v>
      </c>
      <c r="K55" s="10" t="str">
        <f t="shared" si="43"/>
        <v>293x3x10</v>
      </c>
      <c r="L55" s="10" t="str">
        <f t="shared" si="43"/>
        <v/>
      </c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</row>
    <row r="56" spans="1:49" x14ac:dyDescent="0.25">
      <c r="A56" s="15">
        <f t="shared" si="44"/>
        <v>43934</v>
      </c>
      <c r="B56" s="15">
        <f t="shared" si="41"/>
        <v>43940</v>
      </c>
      <c r="C56" s="18" t="str">
        <f t="shared" si="42"/>
        <v>04/13 ~ 04/19</v>
      </c>
      <c r="D56" s="14" t="s">
        <v>10</v>
      </c>
      <c r="E56" s="14">
        <f t="shared" si="39"/>
        <v>4</v>
      </c>
      <c r="F56" s="10" t="str">
        <f>IF(F40=0,
"",
IF(F40=1,
ROUND(F11*N11,0)&amp;"x"&amp;AX11&amp;"x"&amp;CH11,
IF(F40=2,
ROUND(F11*N11,0)&amp;"x"&amp;AX11&amp;"x"&amp;CH11&amp;CHAR(10)&amp;ROUND(F11*U11,0)&amp;"x"&amp;BE11&amp;"x"&amp;CO11,
IF(F40=3,
ROUND(F11*N11,0)&amp;"x"&amp;AX11&amp;"x"&amp;CH11&amp;CHAR(10)&amp;ROUND(F11*U11,0)&amp;"x"&amp;BE11&amp;"x"&amp;CO11&amp;CHAR(10)&amp;ROUND(F11*AB11,0)&amp;"x"&amp;BL11&amp;"x"&amp;CV11,
IF(F40=4,
ROUND(F11*N11,0)&amp;"x"&amp;AX11&amp;"x"&amp;CH11&amp;CHAR(10)&amp;ROUND(F11*U11,0)&amp;"x"&amp;BE11&amp;"x"&amp;CO11&amp;CHAR(10)&amp;ROUND(F11*AB11,0)&amp;"x"&amp;BL11&amp;"x"&amp;CV11&amp;CHAR(10)&amp;ROUND(F11*AI11,0)&amp;"x"&amp;BS11&amp;"x"&amp;DC11,
ROUND(F11*N11,0)&amp;"x"&amp;AX11&amp;"x"&amp;CH11&amp;CHAR(10)&amp;ROUND(F11*U11,0)&amp;"x"&amp;BE11&amp;"x"&amp;CO11&amp;CHAR(10)&amp;ROUND(F11*AB11,0)&amp;"x"&amp;BL11&amp;"x"&amp;CV11&amp;CHAR(10)&amp;ROUND(F11*AI11,0)&amp;"x"&amp;BS11&amp;"x"&amp;DC11&amp;CHAR(10)&amp;ROUND(F11*AP11,0)&amp;"x"&amp;BZ11&amp;"x"&amp;DJ11
)))))</f>
        <v>256x9x4</v>
      </c>
      <c r="G56" s="10" t="str">
        <f t="shared" si="43"/>
        <v/>
      </c>
      <c r="H56" s="10" t="str">
        <f t="shared" si="43"/>
        <v>274x7x5</v>
      </c>
      <c r="I56" s="10" t="str">
        <f t="shared" si="43"/>
        <v/>
      </c>
      <c r="J56" s="10" t="str">
        <f t="shared" si="43"/>
        <v>292x5x7</v>
      </c>
      <c r="K56" s="10" t="str">
        <f t="shared" si="43"/>
        <v>310x3x10</v>
      </c>
      <c r="L56" s="10" t="str">
        <f t="shared" si="43"/>
        <v/>
      </c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</row>
    <row r="57" spans="1:49" x14ac:dyDescent="0.25">
      <c r="A57" s="15">
        <f t="shared" si="44"/>
        <v>43941</v>
      </c>
      <c r="B57" s="15">
        <f t="shared" si="41"/>
        <v>43947</v>
      </c>
      <c r="C57" s="18" t="str">
        <f t="shared" si="42"/>
        <v>04/20 ~ 04/26</v>
      </c>
      <c r="D57" s="14" t="s">
        <v>10</v>
      </c>
      <c r="E57" s="14">
        <f t="shared" si="39"/>
        <v>5</v>
      </c>
      <c r="F57" s="10" t="str">
        <f>IF(F41=0,
"",
IF(F41=1,
ROUND(F12*N12,0)&amp;"x"&amp;AX12&amp;"x"&amp;CH12,
IF(F41=2,
ROUND(F12*N12,0)&amp;"x"&amp;AX12&amp;"x"&amp;CH12&amp;CHAR(10)&amp;ROUND(F12*U12,0)&amp;"x"&amp;BE12&amp;"x"&amp;CO12,
IF(F41=3,
ROUND(F12*N12,0)&amp;"x"&amp;AX12&amp;"x"&amp;CH12&amp;CHAR(10)&amp;ROUND(F12*U12,0)&amp;"x"&amp;BE12&amp;"x"&amp;CO12&amp;CHAR(10)&amp;ROUND(F12*AB12,0)&amp;"x"&amp;BL12&amp;"x"&amp;CV12,
IF(F41=4,
ROUND(F12*N12,0)&amp;"x"&amp;AX12&amp;"x"&amp;CH12&amp;CHAR(10)&amp;ROUND(F12*U12,0)&amp;"x"&amp;BE12&amp;"x"&amp;CO12&amp;CHAR(10)&amp;ROUND(F12*AB12,0)&amp;"x"&amp;BL12&amp;"x"&amp;CV12&amp;CHAR(10)&amp;ROUND(F12*AI12,0)&amp;"x"&amp;BS12&amp;"x"&amp;DC12,
ROUND(F12*N12,0)&amp;"x"&amp;AX12&amp;"x"&amp;CH12&amp;CHAR(10)&amp;ROUND(F12*U12,0)&amp;"x"&amp;BE12&amp;"x"&amp;CO12&amp;CHAR(10)&amp;ROUND(F12*AB12,0)&amp;"x"&amp;BL12&amp;"x"&amp;CV12&amp;CHAR(10)&amp;ROUND(F12*AI12,0)&amp;"x"&amp;BS12&amp;"x"&amp;DC12&amp;CHAR(10)&amp;ROUND(F12*AP12,0)&amp;"x"&amp;BZ12&amp;"x"&amp;DJ12
)))))</f>
        <v>270x9x4</v>
      </c>
      <c r="G57" s="10" t="str">
        <f t="shared" si="43"/>
        <v/>
      </c>
      <c r="H57" s="10" t="str">
        <f t="shared" si="43"/>
        <v>289x7x5</v>
      </c>
      <c r="I57" s="10" t="str">
        <f t="shared" si="43"/>
        <v/>
      </c>
      <c r="J57" s="10" t="str">
        <f t="shared" si="43"/>
        <v>308x5x7</v>
      </c>
      <c r="K57" s="10" t="str">
        <f t="shared" si="43"/>
        <v>327x3x10</v>
      </c>
      <c r="L57" s="10" t="str">
        <f t="shared" si="43"/>
        <v/>
      </c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</row>
    <row r="58" spans="1:49" x14ac:dyDescent="0.25">
      <c r="A58" s="15">
        <f t="shared" si="44"/>
        <v>43948</v>
      </c>
      <c r="B58" s="15">
        <f t="shared" si="41"/>
        <v>43954</v>
      </c>
      <c r="C58" s="18" t="str">
        <f t="shared" si="42"/>
        <v>04/27 ~ 05/03</v>
      </c>
      <c r="D58" s="14" t="s">
        <v>10</v>
      </c>
      <c r="E58" s="14">
        <f t="shared" si="39"/>
        <v>6</v>
      </c>
      <c r="F58" s="11" t="s">
        <v>18</v>
      </c>
      <c r="G58" s="10" t="str">
        <f t="shared" ref="G58:G65" si="45">IF(G42=0,
"",
IF(G42=1,
ROUND(G13*O13,0)&amp;"x"&amp;AY13&amp;"x"&amp;CI13,
IF(G42=2,
ROUND(G13*O13,0)&amp;"x"&amp;AY13&amp;"x"&amp;CI13&amp;CHAR(10)&amp;ROUND(G13*V13,0)&amp;"x"&amp;BF13&amp;"x"&amp;CP13,
IF(G42=3,
ROUND(G13*O13,0)&amp;"x"&amp;AY13&amp;"x"&amp;CI13&amp;CHAR(10)&amp;ROUND(G13*V13,0)&amp;"x"&amp;BF13&amp;"x"&amp;CP13&amp;CHAR(10)&amp;ROUND(G13*AC13,0)&amp;"x"&amp;BM13&amp;"x"&amp;CW13,
IF(G42=4,
ROUND(G13*O13,0)&amp;"x"&amp;AY13&amp;"x"&amp;CI13&amp;CHAR(10)&amp;ROUND(G13*V13,0)&amp;"x"&amp;BF13&amp;"x"&amp;CP13&amp;CHAR(10)&amp;ROUND(G13*AC13,0)&amp;"x"&amp;BM13&amp;"x"&amp;CW13&amp;CHAR(10)&amp;ROUND(G13*AJ13,0)&amp;"x"&amp;BT13&amp;"x"&amp;DD13,
ROUND(G13*O13,0)&amp;"x"&amp;AY13&amp;"x"&amp;CI13&amp;CHAR(10)&amp;ROUND(G13*V13,0)&amp;"x"&amp;BF13&amp;"x"&amp;CP13&amp;CHAR(10)&amp;ROUND(G13*AC13,0)&amp;"x"&amp;BM13&amp;"x"&amp;CW13&amp;CHAR(10)&amp;ROUND(G13*AJ13,0)&amp;"x"&amp;BT13&amp;"x"&amp;DD13&amp;CHAR(10)&amp;ROUND(G13*AQ13,0)&amp;"x"&amp;CA13&amp;"x"&amp;DK13
)))))</f>
        <v/>
      </c>
      <c r="H58" s="11" t="s">
        <v>18</v>
      </c>
      <c r="I58" s="10" t="str">
        <f t="shared" ref="I58:I65" si="46">IF(I42=0,
"",
IF(I42=1,
ROUND(I13*Q13,0)&amp;"x"&amp;BA13&amp;"x"&amp;CK13,
IF(I42=2,
ROUND(I13*Q13,0)&amp;"x"&amp;BA13&amp;"x"&amp;CK13&amp;CHAR(10)&amp;ROUND(I13*X13,0)&amp;"x"&amp;BH13&amp;"x"&amp;CR13,
IF(I42=3,
ROUND(I13*Q13,0)&amp;"x"&amp;BA13&amp;"x"&amp;CK13&amp;CHAR(10)&amp;ROUND(I13*X13,0)&amp;"x"&amp;BH13&amp;"x"&amp;CR13&amp;CHAR(10)&amp;ROUND(I13*AE13,0)&amp;"x"&amp;BO13&amp;"x"&amp;CY13,
IF(I42=4,
ROUND(I13*Q13,0)&amp;"x"&amp;BA13&amp;"x"&amp;CK13&amp;CHAR(10)&amp;ROUND(I13*X13,0)&amp;"x"&amp;BH13&amp;"x"&amp;CR13&amp;CHAR(10)&amp;ROUND(I13*AE13,0)&amp;"x"&amp;BO13&amp;"x"&amp;CY13&amp;CHAR(10)&amp;ROUND(I13*AL13,0)&amp;"x"&amp;BV13&amp;"x"&amp;DF13,
ROUND(I13*Q13,0)&amp;"x"&amp;BA13&amp;"x"&amp;CK13&amp;CHAR(10)&amp;ROUND(I13*X13,0)&amp;"x"&amp;BH13&amp;"x"&amp;CR13&amp;CHAR(10)&amp;ROUND(I13*AE13,0)&amp;"x"&amp;BO13&amp;"x"&amp;CY13&amp;CHAR(10)&amp;ROUND(I13*AL13,0)&amp;"x"&amp;BV13&amp;"x"&amp;DF13&amp;CHAR(10)&amp;ROUND(I13*AS13,0)&amp;"x"&amp;CC13&amp;"x"&amp;DM13
)))))</f>
        <v/>
      </c>
      <c r="J58" s="12" t="s">
        <v>19</v>
      </c>
      <c r="K58" s="10" t="str">
        <f t="shared" ref="K58:L64" si="47">IF(K42=0,
"",
IF(K42=1,
ROUND(K13*S13,0)&amp;"x"&amp;BC13&amp;"x"&amp;CM13,
IF(K42=2,
ROUND(K13*S13,0)&amp;"x"&amp;BC13&amp;"x"&amp;CM13&amp;CHAR(10)&amp;ROUND(K13*Z13,0)&amp;"x"&amp;BJ13&amp;"x"&amp;CT13,
IF(K42=3,
ROUND(K13*S13,0)&amp;"x"&amp;BC13&amp;"x"&amp;CM13&amp;CHAR(10)&amp;ROUND(K13*Z13,0)&amp;"x"&amp;BJ13&amp;"x"&amp;CT13&amp;CHAR(10)&amp;ROUND(K13*AG13,0)&amp;"x"&amp;BQ13&amp;"x"&amp;DA13,
IF(K42=4,
ROUND(K13*S13,0)&amp;"x"&amp;BC13&amp;"x"&amp;CM13&amp;CHAR(10)&amp;ROUND(K13*Z13,0)&amp;"x"&amp;BJ13&amp;"x"&amp;CT13&amp;CHAR(10)&amp;ROUND(K13*AG13,0)&amp;"x"&amp;BQ13&amp;"x"&amp;DA13&amp;CHAR(10)&amp;ROUND(K13*AN13,0)&amp;"x"&amp;BX13&amp;"x"&amp;DH13,
ROUND(K13*S13,0)&amp;"x"&amp;BC13&amp;"x"&amp;CM13&amp;CHAR(10)&amp;ROUND(K13*Z13,0)&amp;"x"&amp;BJ13&amp;"x"&amp;CT13&amp;CHAR(10)&amp;ROUND(K13*AG13,0)&amp;"x"&amp;BQ13&amp;"x"&amp;DA13&amp;CHAR(10)&amp;ROUND(K13*AN13,0)&amp;"x"&amp;BX13&amp;"x"&amp;DH13&amp;CHAR(10)&amp;ROUND(K13*AU13,0)&amp;"x"&amp;CE13&amp;"x"&amp;DO13
)))))</f>
        <v/>
      </c>
      <c r="L58" s="10" t="str">
        <f t="shared" si="47"/>
        <v/>
      </c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</row>
    <row r="59" spans="1:49" ht="74.25" customHeight="1" x14ac:dyDescent="0.25">
      <c r="A59" s="15">
        <f t="shared" si="44"/>
        <v>43955</v>
      </c>
      <c r="B59" s="15">
        <f t="shared" si="41"/>
        <v>43961</v>
      </c>
      <c r="C59" s="18" t="str">
        <f t="shared" si="42"/>
        <v>05/04 ~ 05/10</v>
      </c>
      <c r="D59" s="14" t="s">
        <v>11</v>
      </c>
      <c r="E59" s="14">
        <f t="shared" si="39"/>
        <v>7</v>
      </c>
      <c r="F59" s="13" t="s">
        <v>20</v>
      </c>
      <c r="G59" s="10" t="str">
        <f t="shared" si="45"/>
        <v/>
      </c>
      <c r="H59" s="13" t="s">
        <v>20</v>
      </c>
      <c r="I59" s="10" t="str">
        <f t="shared" si="46"/>
        <v/>
      </c>
      <c r="J59" s="13" t="s">
        <v>20</v>
      </c>
      <c r="K59" s="10" t="str">
        <f t="shared" si="47"/>
        <v/>
      </c>
      <c r="L59" s="10" t="str">
        <f t="shared" si="47"/>
        <v/>
      </c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</row>
    <row r="60" spans="1:49" ht="74.25" customHeight="1" x14ac:dyDescent="0.25">
      <c r="A60" s="15">
        <f t="shared" si="44"/>
        <v>43962</v>
      </c>
      <c r="B60" s="15">
        <f t="shared" si="41"/>
        <v>43968</v>
      </c>
      <c r="C60" s="18" t="str">
        <f t="shared" si="42"/>
        <v>05/11 ~ 05/17</v>
      </c>
      <c r="D60" s="14" t="s">
        <v>11</v>
      </c>
      <c r="E60" s="14">
        <f t="shared" si="39"/>
        <v>8</v>
      </c>
      <c r="F60" s="13" t="s">
        <v>20</v>
      </c>
      <c r="G60" s="10" t="str">
        <f t="shared" si="45"/>
        <v/>
      </c>
      <c r="H60" s="13" t="s">
        <v>20</v>
      </c>
      <c r="I60" s="10" t="str">
        <f t="shared" si="46"/>
        <v/>
      </c>
      <c r="J60" s="13" t="s">
        <v>20</v>
      </c>
      <c r="K60" s="10" t="str">
        <f t="shared" si="47"/>
        <v/>
      </c>
      <c r="L60" s="10" t="str">
        <f t="shared" si="47"/>
        <v/>
      </c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</row>
    <row r="61" spans="1:49" ht="74.25" customHeight="1" x14ac:dyDescent="0.25">
      <c r="A61" s="15">
        <f t="shared" si="44"/>
        <v>43969</v>
      </c>
      <c r="B61" s="15">
        <f t="shared" si="41"/>
        <v>43975</v>
      </c>
      <c r="C61" s="18" t="str">
        <f t="shared" si="42"/>
        <v>05/18 ~ 05/24</v>
      </c>
      <c r="D61" s="14" t="s">
        <v>12</v>
      </c>
      <c r="E61" s="14">
        <f t="shared" si="39"/>
        <v>9</v>
      </c>
      <c r="F61" s="10" t="str">
        <f>IF(F45=0,
"",
IF(F45=1,
ROUND(F16*N16,0)&amp;"x"&amp;AX16&amp;"x"&amp;CH16,
IF(F45=2,
ROUND(F16*N16,0)&amp;"x"&amp;AX16&amp;"x"&amp;CH16&amp;CHAR(10)&amp;ROUND(F16*U16,0)&amp;"x"&amp;BE16&amp;"x"&amp;CO16,
IF(F45=3,
ROUND(F16*N16,0)&amp;"x"&amp;AX16&amp;"x"&amp;CH16&amp;CHAR(10)&amp;ROUND(F16*U16,0)&amp;"x"&amp;BE16&amp;"x"&amp;CO16&amp;CHAR(10)&amp;ROUND(F16*AB16,0)&amp;"x"&amp;BL16&amp;"x"&amp;CV16,
IF(F45=4,
ROUND(F16*N16,0)&amp;"x"&amp;AX16&amp;"x"&amp;CH16&amp;CHAR(10)&amp;ROUND(F16*U16,0)&amp;"x"&amp;BE16&amp;"x"&amp;CO16&amp;CHAR(10)&amp;ROUND(F16*AB16,0)&amp;"x"&amp;BL16&amp;"x"&amp;CV16&amp;CHAR(10)&amp;ROUND(F16*AI16,0)&amp;"x"&amp;BS16&amp;"x"&amp;DC16,
ROUND(F16*N16,0)&amp;"x"&amp;AX16&amp;"x"&amp;CH16&amp;CHAR(10)&amp;ROUND(F16*U16,0)&amp;"x"&amp;BE16&amp;"x"&amp;CO16&amp;CHAR(10)&amp;ROUND(F16*AB16,0)&amp;"x"&amp;BL16&amp;"x"&amp;CV16&amp;CHAR(10)&amp;ROUND(F16*AI16,0)&amp;"x"&amp;BS16&amp;"x"&amp;DC16&amp;CHAR(10)&amp;ROUND(F16*AP16,0)&amp;"x"&amp;BZ16&amp;"x"&amp;DJ16
)))))</f>
        <v>224x3x1
259x4x1
293x4x3
293x5x1</v>
      </c>
      <c r="G61" s="10" t="str">
        <f t="shared" si="45"/>
        <v/>
      </c>
      <c r="H61" s="10" t="str">
        <f>IF(H45=0,
"",
IF(H45=1,
ROUND(H16*P16,0)&amp;"x"&amp;AZ16&amp;"x"&amp;CJ16,
IF(H45=2,
ROUND(H16*P16,0)&amp;"x"&amp;AZ16&amp;"x"&amp;CJ16&amp;CHAR(10)&amp;ROUND(H16*W16,0)&amp;"x"&amp;BG16&amp;"x"&amp;CQ16,
IF(H45=3,
ROUND(H16*P16,0)&amp;"x"&amp;AZ16&amp;"x"&amp;CJ16&amp;CHAR(10)&amp;ROUND(H16*W16,0)&amp;"x"&amp;BG16&amp;"x"&amp;CQ16&amp;CHAR(10)&amp;ROUND(H16*AD16,0)&amp;"x"&amp;BN16&amp;"x"&amp;CX16,
IF(H45=4,
ROUND(H16*P16,0)&amp;"x"&amp;AZ16&amp;"x"&amp;CJ16&amp;CHAR(10)&amp;ROUND(H16*W16,0)&amp;"x"&amp;BG16&amp;"x"&amp;CQ16&amp;CHAR(10)&amp;ROUND(H16*AD16,0)&amp;"x"&amp;BN16&amp;"x"&amp;CX16&amp;CHAR(10)&amp;ROUND(H16*AK16,0)&amp;"x"&amp;BU16&amp;"x"&amp;DE16,
ROUND(H16*P16,0)&amp;"x"&amp;AZ16&amp;"x"&amp;CJ16&amp;CHAR(10)&amp;ROUND(H16*W16,0)&amp;"x"&amp;BG16&amp;"x"&amp;CQ16&amp;CHAR(10)&amp;ROUND(H16*AD16,0)&amp;"x"&amp;BN16&amp;"x"&amp;CX16&amp;CHAR(10)&amp;ROUND(H16*AK16,0)&amp;"x"&amp;BU16&amp;"x"&amp;DE16&amp;CHAR(10)&amp;ROUND(H16*AR16,0)&amp;"x"&amp;CB16&amp;"x"&amp;DL16
)))))</f>
        <v>207x3x1
242x3x1
276x4x1
311x3x1
293x5x2</v>
      </c>
      <c r="I61" s="10" t="str">
        <f t="shared" si="46"/>
        <v/>
      </c>
      <c r="J61" s="10" t="str">
        <f>IF(J45=0,
"",
IF(J45=1,
ROUND(J16*R16,0)&amp;"x"&amp;BB16&amp;"x"&amp;CL16,
IF(J45=2,
ROUND(J16*R16,0)&amp;"x"&amp;BB16&amp;"x"&amp;CL16&amp;CHAR(10)&amp;ROUND(J16*Y16,0)&amp;"x"&amp;BI16&amp;"x"&amp;CS16,
IF(J45=3,
ROUND(J16*R16,0)&amp;"x"&amp;BB16&amp;"x"&amp;CL16&amp;CHAR(10)&amp;ROUND(J16*Y16,0)&amp;"x"&amp;BI16&amp;"x"&amp;CS16&amp;CHAR(10)&amp;ROUND(J16*AF16,0)&amp;"x"&amp;BP16&amp;"x"&amp;CZ16,
IF(J45=4,
ROUND(J16*R16,0)&amp;"x"&amp;BB16&amp;"x"&amp;CL16&amp;CHAR(10)&amp;ROUND(J16*Y16,0)&amp;"x"&amp;BI16&amp;"x"&amp;CS16&amp;CHAR(10)&amp;ROUND(J16*AF16,0)&amp;"x"&amp;BP16&amp;"x"&amp;CZ16&amp;CHAR(10)&amp;ROUND(J16*AM16,0)&amp;"x"&amp;BW16&amp;"x"&amp;DG16,
ROUND(J16*R16,0)&amp;"x"&amp;BB16&amp;"x"&amp;CL16&amp;CHAR(10)&amp;ROUND(J16*Y16,0)&amp;"x"&amp;BI16&amp;"x"&amp;CS16&amp;CHAR(10)&amp;ROUND(J16*AF16,0)&amp;"x"&amp;BP16&amp;"x"&amp;CZ16&amp;CHAR(10)&amp;ROUND(J16*AM16,0)&amp;"x"&amp;BW16&amp;"x"&amp;DG16&amp;CHAR(10)&amp;ROUND(J16*AT16,0)&amp;"x"&amp;CD16&amp;"x"&amp;DN16
)))))</f>
        <v/>
      </c>
      <c r="K61" s="10" t="str">
        <f t="shared" si="47"/>
        <v>224x4x1
242x4x1
276x4x5</v>
      </c>
      <c r="L61" s="10" t="str">
        <f t="shared" si="47"/>
        <v/>
      </c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</row>
    <row r="62" spans="1:49" ht="74.25" customHeight="1" x14ac:dyDescent="0.25">
      <c r="A62" s="15">
        <f t="shared" si="44"/>
        <v>43976</v>
      </c>
      <c r="B62" s="15">
        <f t="shared" si="41"/>
        <v>43982</v>
      </c>
      <c r="C62" s="18" t="str">
        <f t="shared" si="42"/>
        <v>05/25 ~ 05/31</v>
      </c>
      <c r="D62" s="14" t="s">
        <v>12</v>
      </c>
      <c r="E62" s="14">
        <f t="shared" si="39"/>
        <v>10</v>
      </c>
      <c r="F62" s="10" t="str">
        <f>IF(F46=0,
"",
IF(F46=1,
ROUND(F17*N17,0)&amp;"x"&amp;AX17&amp;"x"&amp;CH17,
IF(F46=2,
ROUND(F17*N17,0)&amp;"x"&amp;AX17&amp;"x"&amp;CH17&amp;CHAR(10)&amp;ROUND(F17*U17,0)&amp;"x"&amp;BE17&amp;"x"&amp;CO17,
IF(F46=3,
ROUND(F17*N17,0)&amp;"x"&amp;AX17&amp;"x"&amp;CH17&amp;CHAR(10)&amp;ROUND(F17*U17,0)&amp;"x"&amp;BE17&amp;"x"&amp;CO17&amp;CHAR(10)&amp;ROUND(F17*AB17,0)&amp;"x"&amp;BL17&amp;"x"&amp;CV17,
IF(F46=4,
ROUND(F17*N17,0)&amp;"x"&amp;AX17&amp;"x"&amp;CH17&amp;CHAR(10)&amp;ROUND(F17*U17,0)&amp;"x"&amp;BE17&amp;"x"&amp;CO17&amp;CHAR(10)&amp;ROUND(F17*AB17,0)&amp;"x"&amp;BL17&amp;"x"&amp;CV17&amp;CHAR(10)&amp;ROUND(F17*AI17,0)&amp;"x"&amp;BS17&amp;"x"&amp;DC17,
ROUND(F17*N17,0)&amp;"x"&amp;AX17&amp;"x"&amp;CH17&amp;CHAR(10)&amp;ROUND(F17*U17,0)&amp;"x"&amp;BE17&amp;"x"&amp;CO17&amp;CHAR(10)&amp;ROUND(F17*AB17,0)&amp;"x"&amp;BL17&amp;"x"&amp;CV17&amp;CHAR(10)&amp;ROUND(F17*AI17,0)&amp;"x"&amp;BS17&amp;"x"&amp;DC17&amp;CHAR(10)&amp;ROUND(F17*AP17,0)&amp;"x"&amp;BZ17&amp;"x"&amp;DJ17
)))))</f>
        <v>207x4x1
242x4x1
276x4x1
311x3x1
311x4x2</v>
      </c>
      <c r="G62" s="10" t="str">
        <f t="shared" si="45"/>
        <v/>
      </c>
      <c r="H62" s="10" t="str">
        <f>IF(H46=0,
"",
IF(H46=1,
ROUND(H17*P17,0)&amp;"x"&amp;AZ17&amp;"x"&amp;CJ17,
IF(H46=2,
ROUND(H17*P17,0)&amp;"x"&amp;AZ17&amp;"x"&amp;CJ17&amp;CHAR(10)&amp;ROUND(H17*W17,0)&amp;"x"&amp;BG17&amp;"x"&amp;CQ17,
IF(H46=3,
ROUND(H17*P17,0)&amp;"x"&amp;AZ17&amp;"x"&amp;CJ17&amp;CHAR(10)&amp;ROUND(H17*W17,0)&amp;"x"&amp;BG17&amp;"x"&amp;CQ17&amp;CHAR(10)&amp;ROUND(H17*AD17,0)&amp;"x"&amp;BN17&amp;"x"&amp;CX17,
IF(H46=4,
ROUND(H17*P17,0)&amp;"x"&amp;AZ17&amp;"x"&amp;CJ17&amp;CHAR(10)&amp;ROUND(H17*W17,0)&amp;"x"&amp;BG17&amp;"x"&amp;CQ17&amp;CHAR(10)&amp;ROUND(H17*AD17,0)&amp;"x"&amp;BN17&amp;"x"&amp;CX17&amp;CHAR(10)&amp;ROUND(H17*AK17,0)&amp;"x"&amp;BU17&amp;"x"&amp;DE17,
ROUND(H17*P17,0)&amp;"x"&amp;AZ17&amp;"x"&amp;CJ17&amp;CHAR(10)&amp;ROUND(H17*W17,0)&amp;"x"&amp;BG17&amp;"x"&amp;CQ17&amp;CHAR(10)&amp;ROUND(H17*AD17,0)&amp;"x"&amp;BN17&amp;"x"&amp;CX17&amp;CHAR(10)&amp;ROUND(H17*AK17,0)&amp;"x"&amp;BU17&amp;"x"&amp;DE17&amp;CHAR(10)&amp;ROUND(H17*AR17,0)&amp;"x"&amp;CB17&amp;"x"&amp;DL17
)))))</f>
        <v>224x3x1
259x3x1
293x3x1
311x3x3
328x3x1</v>
      </c>
      <c r="I62" s="10" t="str">
        <f t="shared" si="46"/>
        <v/>
      </c>
      <c r="J62" s="10" t="str">
        <f>IF(J46=0,
"",
IF(J46=1,
ROUND(J17*R17,0)&amp;"x"&amp;BB17&amp;"x"&amp;CL17,
IF(J46=2,
ROUND(J17*R17,0)&amp;"x"&amp;BB17&amp;"x"&amp;CL17&amp;CHAR(10)&amp;ROUND(J17*Y17,0)&amp;"x"&amp;BI17&amp;"x"&amp;CS17,
IF(J46=3,
ROUND(J17*R17,0)&amp;"x"&amp;BB17&amp;"x"&amp;CL17&amp;CHAR(10)&amp;ROUND(J17*Y17,0)&amp;"x"&amp;BI17&amp;"x"&amp;CS17&amp;CHAR(10)&amp;ROUND(J17*AF17,0)&amp;"x"&amp;BP17&amp;"x"&amp;CZ17,
IF(J46=4,
ROUND(J17*R17,0)&amp;"x"&amp;BB17&amp;"x"&amp;CL17&amp;CHAR(10)&amp;ROUND(J17*Y17,0)&amp;"x"&amp;BI17&amp;"x"&amp;CS17&amp;CHAR(10)&amp;ROUND(J17*AF17,0)&amp;"x"&amp;BP17&amp;"x"&amp;CZ17&amp;CHAR(10)&amp;ROUND(J17*AM17,0)&amp;"x"&amp;BW17&amp;"x"&amp;DG17,
ROUND(J17*R17,0)&amp;"x"&amp;BB17&amp;"x"&amp;CL17&amp;CHAR(10)&amp;ROUND(J17*Y17,0)&amp;"x"&amp;BI17&amp;"x"&amp;CS17&amp;CHAR(10)&amp;ROUND(J17*AF17,0)&amp;"x"&amp;BP17&amp;"x"&amp;CZ17&amp;CHAR(10)&amp;ROUND(J17*AM17,0)&amp;"x"&amp;BW17&amp;"x"&amp;DG17&amp;CHAR(10)&amp;ROUND(J17*AT17,0)&amp;"x"&amp;CD17&amp;"x"&amp;DN17
)))))</f>
        <v/>
      </c>
      <c r="K62" s="10" t="str">
        <f t="shared" si="47"/>
        <v>224x3x1
259x3x1
293x4x1
311x5x4</v>
      </c>
      <c r="L62" s="10" t="str">
        <f t="shared" si="47"/>
        <v/>
      </c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</row>
    <row r="63" spans="1:49" ht="60" x14ac:dyDescent="0.25">
      <c r="A63" s="15">
        <f t="shared" si="44"/>
        <v>43983</v>
      </c>
      <c r="B63" s="15">
        <f t="shared" si="41"/>
        <v>43989</v>
      </c>
      <c r="C63" s="18" t="str">
        <f t="shared" si="42"/>
        <v>06/01 ~ 06/07</v>
      </c>
      <c r="D63" s="14" t="s">
        <v>12</v>
      </c>
      <c r="E63" s="14">
        <f t="shared" si="39"/>
        <v>11</v>
      </c>
      <c r="F63" s="10" t="str">
        <f>IF(F47=0,
"",
IF(F47=1,
ROUND(F18*N18,0)&amp;"x"&amp;AX18&amp;"x"&amp;CH18,
IF(F47=2,
ROUND(F18*N18,0)&amp;"x"&amp;AX18&amp;"x"&amp;CH18&amp;CHAR(10)&amp;ROUND(F18*U18,0)&amp;"x"&amp;BE18&amp;"x"&amp;CO18,
IF(F47=3,
ROUND(F18*N18,0)&amp;"x"&amp;AX18&amp;"x"&amp;CH18&amp;CHAR(10)&amp;ROUND(F18*U18,0)&amp;"x"&amp;BE18&amp;"x"&amp;CO18&amp;CHAR(10)&amp;ROUND(F18*AB18,0)&amp;"x"&amp;BL18&amp;"x"&amp;CV18,
IF(F47=4,
ROUND(F18*N18,0)&amp;"x"&amp;AX18&amp;"x"&amp;CH18&amp;CHAR(10)&amp;ROUND(F18*U18,0)&amp;"x"&amp;BE18&amp;"x"&amp;CO18&amp;CHAR(10)&amp;ROUND(F18*AB18,0)&amp;"x"&amp;BL18&amp;"x"&amp;CV18&amp;CHAR(10)&amp;ROUND(F18*AI18,0)&amp;"x"&amp;BS18&amp;"x"&amp;DC18,
ROUND(F18*N18,0)&amp;"x"&amp;AX18&amp;"x"&amp;CH18&amp;CHAR(10)&amp;ROUND(F18*U18,0)&amp;"x"&amp;BE18&amp;"x"&amp;CO18&amp;CHAR(10)&amp;ROUND(F18*AB18,0)&amp;"x"&amp;BL18&amp;"x"&amp;CV18&amp;CHAR(10)&amp;ROUND(F18*AI18,0)&amp;"x"&amp;BS18&amp;"x"&amp;DC18&amp;CHAR(10)&amp;ROUND(F18*AP18,0)&amp;"x"&amp;BZ18&amp;"x"&amp;DJ18
)))))</f>
        <v>207x3x1
242x3x1
276x3x1
311x5x5</v>
      </c>
      <c r="G63" s="10" t="str">
        <f t="shared" si="45"/>
        <v/>
      </c>
      <c r="H63" s="10" t="str">
        <f>IF(H47=0,
"",
IF(H47=1,
ROUND(H18*P18,0)&amp;"x"&amp;AZ18&amp;"x"&amp;CJ18,
IF(H47=2,
ROUND(H18*P18,0)&amp;"x"&amp;AZ18&amp;"x"&amp;CJ18&amp;CHAR(10)&amp;ROUND(H18*W18,0)&amp;"x"&amp;BG18&amp;"x"&amp;CQ18,
IF(H47=3,
ROUND(H18*P18,0)&amp;"x"&amp;AZ18&amp;"x"&amp;CJ18&amp;CHAR(10)&amp;ROUND(H18*W18,0)&amp;"x"&amp;BG18&amp;"x"&amp;CQ18&amp;CHAR(10)&amp;ROUND(H18*AD18,0)&amp;"x"&amp;BN18&amp;"x"&amp;CX18,
IF(H47=4,
ROUND(H18*P18,0)&amp;"x"&amp;AZ18&amp;"x"&amp;CJ18&amp;CHAR(10)&amp;ROUND(H18*W18,0)&amp;"x"&amp;BG18&amp;"x"&amp;CQ18&amp;CHAR(10)&amp;ROUND(H18*AD18,0)&amp;"x"&amp;BN18&amp;"x"&amp;CX18&amp;CHAR(10)&amp;ROUND(H18*AK18,0)&amp;"x"&amp;BU18&amp;"x"&amp;DE18,
ROUND(H18*P18,0)&amp;"x"&amp;AZ18&amp;"x"&amp;CJ18&amp;CHAR(10)&amp;ROUND(H18*W18,0)&amp;"x"&amp;BG18&amp;"x"&amp;CQ18&amp;CHAR(10)&amp;ROUND(H18*AD18,0)&amp;"x"&amp;BN18&amp;"x"&amp;CX18&amp;CHAR(10)&amp;ROUND(H18*AK18,0)&amp;"x"&amp;BU18&amp;"x"&amp;DE18&amp;CHAR(10)&amp;ROUND(H18*AR18,0)&amp;"x"&amp;CB18&amp;"x"&amp;DL18
)))))</f>
        <v>207x3x1
242x3x1
276x3x1
328x3x2</v>
      </c>
      <c r="I63" s="10" t="str">
        <f t="shared" si="46"/>
        <v/>
      </c>
      <c r="J63" s="10" t="str">
        <f>IF(J47=0,
"",
IF(J47=1,
ROUND(J18*R18,0)&amp;"x"&amp;BB18&amp;"x"&amp;CL18,
IF(J47=2,
ROUND(J18*R18,0)&amp;"x"&amp;BB18&amp;"x"&amp;CL18&amp;CHAR(10)&amp;ROUND(J18*Y18,0)&amp;"x"&amp;BI18&amp;"x"&amp;CS18,
IF(J47=3,
ROUND(J18*R18,0)&amp;"x"&amp;BB18&amp;"x"&amp;CL18&amp;CHAR(10)&amp;ROUND(J18*Y18,0)&amp;"x"&amp;BI18&amp;"x"&amp;CS18&amp;CHAR(10)&amp;ROUND(J18*AF18,0)&amp;"x"&amp;BP18&amp;"x"&amp;CZ18,
IF(J47=4,
ROUND(J18*R18,0)&amp;"x"&amp;BB18&amp;"x"&amp;CL18&amp;CHAR(10)&amp;ROUND(J18*Y18,0)&amp;"x"&amp;BI18&amp;"x"&amp;CS18&amp;CHAR(10)&amp;ROUND(J18*AF18,0)&amp;"x"&amp;BP18&amp;"x"&amp;CZ18&amp;CHAR(10)&amp;ROUND(J18*AM18,0)&amp;"x"&amp;BW18&amp;"x"&amp;DG18,
ROUND(J18*R18,0)&amp;"x"&amp;BB18&amp;"x"&amp;CL18&amp;CHAR(10)&amp;ROUND(J18*Y18,0)&amp;"x"&amp;BI18&amp;"x"&amp;CS18&amp;CHAR(10)&amp;ROUND(J18*AF18,0)&amp;"x"&amp;BP18&amp;"x"&amp;CZ18&amp;CHAR(10)&amp;ROUND(J18*AM18,0)&amp;"x"&amp;BW18&amp;"x"&amp;DG18&amp;CHAR(10)&amp;ROUND(J18*AT18,0)&amp;"x"&amp;CD18&amp;"x"&amp;DN18
)))))</f>
        <v/>
      </c>
      <c r="K63" s="10" t="str">
        <f t="shared" si="47"/>
        <v>224x3x1
259x3x1
293x3x1
328x3x4</v>
      </c>
      <c r="L63" s="10" t="str">
        <f t="shared" si="47"/>
        <v/>
      </c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</row>
    <row r="64" spans="1:49" ht="45" x14ac:dyDescent="0.25">
      <c r="A64" s="15">
        <f t="shared" si="44"/>
        <v>43990</v>
      </c>
      <c r="B64" s="15">
        <f t="shared" si="41"/>
        <v>43996</v>
      </c>
      <c r="C64" s="18" t="str">
        <f t="shared" si="42"/>
        <v>06/08 ~ 06/14</v>
      </c>
      <c r="D64" s="14" t="s">
        <v>12</v>
      </c>
      <c r="E64" s="14">
        <f t="shared" si="39"/>
        <v>12</v>
      </c>
      <c r="F64" s="10" t="str">
        <f>IF(F48=0,
"",
IF(F48=1,
ROUND(F19*N19,0)&amp;"x"&amp;AX19&amp;"x"&amp;CH19,
IF(F48=2,
ROUND(F19*N19,0)&amp;"x"&amp;AX19&amp;"x"&amp;CH19&amp;CHAR(10)&amp;ROUND(F19*U19,0)&amp;"x"&amp;BE19&amp;"x"&amp;CO19,
IF(F48=3,
ROUND(F19*N19,0)&amp;"x"&amp;AX19&amp;"x"&amp;CH19&amp;CHAR(10)&amp;ROUND(F19*U19,0)&amp;"x"&amp;BE19&amp;"x"&amp;CO19&amp;CHAR(10)&amp;ROUND(F19*AB19,0)&amp;"x"&amp;BL19&amp;"x"&amp;CV19,
IF(F48=4,
ROUND(F19*N19,0)&amp;"x"&amp;AX19&amp;"x"&amp;CH19&amp;CHAR(10)&amp;ROUND(F19*U19,0)&amp;"x"&amp;BE19&amp;"x"&amp;CO19&amp;CHAR(10)&amp;ROUND(F19*AB19,0)&amp;"x"&amp;BL19&amp;"x"&amp;CV19&amp;CHAR(10)&amp;ROUND(F19*AI19,0)&amp;"x"&amp;BS19&amp;"x"&amp;DC19,
ROUND(F19*N19,0)&amp;"x"&amp;AX19&amp;"x"&amp;CH19&amp;CHAR(10)&amp;ROUND(F19*U19,0)&amp;"x"&amp;BE19&amp;"x"&amp;CO19&amp;CHAR(10)&amp;ROUND(F19*AB19,0)&amp;"x"&amp;BL19&amp;"x"&amp;CV19&amp;CHAR(10)&amp;ROUND(F19*AI19,0)&amp;"x"&amp;BS19&amp;"x"&amp;DC19&amp;CHAR(10)&amp;ROUND(F19*AP19,0)&amp;"x"&amp;BZ19&amp;"x"&amp;DJ19
)))))</f>
        <v>242x3x1
276x3x1
311x5x5</v>
      </c>
      <c r="G64" s="10" t="str">
        <f t="shared" si="45"/>
        <v/>
      </c>
      <c r="H64" s="10" t="str">
        <f>IF(H48=0,
"",
IF(H48=1,
ROUND(H19*P19,0)&amp;"x"&amp;AZ19&amp;"x"&amp;CJ19,
IF(H48=2,
ROUND(H19*P19,0)&amp;"x"&amp;AZ19&amp;"x"&amp;CJ19&amp;CHAR(10)&amp;ROUND(H19*W19,0)&amp;"x"&amp;BG19&amp;"x"&amp;CQ19,
IF(H48=3,
ROUND(H19*P19,0)&amp;"x"&amp;AZ19&amp;"x"&amp;CJ19&amp;CHAR(10)&amp;ROUND(H19*W19,0)&amp;"x"&amp;BG19&amp;"x"&amp;CQ19&amp;CHAR(10)&amp;ROUND(H19*AD19,0)&amp;"x"&amp;BN19&amp;"x"&amp;CX19,
IF(H48=4,
ROUND(H19*P19,0)&amp;"x"&amp;AZ19&amp;"x"&amp;CJ19&amp;CHAR(10)&amp;ROUND(H19*W19,0)&amp;"x"&amp;BG19&amp;"x"&amp;CQ19&amp;CHAR(10)&amp;ROUND(H19*AD19,0)&amp;"x"&amp;BN19&amp;"x"&amp;CX19&amp;CHAR(10)&amp;ROUND(H19*AK19,0)&amp;"x"&amp;BU19&amp;"x"&amp;DE19,
ROUND(H19*P19,0)&amp;"x"&amp;AZ19&amp;"x"&amp;CJ19&amp;CHAR(10)&amp;ROUND(H19*W19,0)&amp;"x"&amp;BG19&amp;"x"&amp;CQ19&amp;CHAR(10)&amp;ROUND(H19*AD19,0)&amp;"x"&amp;BN19&amp;"x"&amp;CX19&amp;CHAR(10)&amp;ROUND(H19*AK19,0)&amp;"x"&amp;BU19&amp;"x"&amp;DE19&amp;CHAR(10)&amp;ROUND(H19*AR19,0)&amp;"x"&amp;CB19&amp;"x"&amp;DL19
)))))</f>
        <v>242x3x1
276x3x1
328x3x4</v>
      </c>
      <c r="I64" s="10" t="str">
        <f t="shared" si="46"/>
        <v/>
      </c>
      <c r="J64" s="10" t="str">
        <f>IF(J48=0,
"",
IF(J48=1,
ROUND(J19*R19,0)&amp;"x"&amp;BB19&amp;"x"&amp;CL19,
IF(J48=2,
ROUND(J19*R19,0)&amp;"x"&amp;BB19&amp;"x"&amp;CL19&amp;CHAR(10)&amp;ROUND(J19*Y19,0)&amp;"x"&amp;BI19&amp;"x"&amp;CS19,
IF(J48=3,
ROUND(J19*R19,0)&amp;"x"&amp;BB19&amp;"x"&amp;CL19&amp;CHAR(10)&amp;ROUND(J19*Y19,0)&amp;"x"&amp;BI19&amp;"x"&amp;CS19&amp;CHAR(10)&amp;ROUND(J19*AF19,0)&amp;"x"&amp;BP19&amp;"x"&amp;CZ19,
IF(J48=4,
ROUND(J19*R19,0)&amp;"x"&amp;BB19&amp;"x"&amp;CL19&amp;CHAR(10)&amp;ROUND(J19*Y19,0)&amp;"x"&amp;BI19&amp;"x"&amp;CS19&amp;CHAR(10)&amp;ROUND(J19*AF19,0)&amp;"x"&amp;BP19&amp;"x"&amp;CZ19&amp;CHAR(10)&amp;ROUND(J19*AM19,0)&amp;"x"&amp;BW19&amp;"x"&amp;DG19,
ROUND(J19*R19,0)&amp;"x"&amp;BB19&amp;"x"&amp;CL19&amp;CHAR(10)&amp;ROUND(J19*Y19,0)&amp;"x"&amp;BI19&amp;"x"&amp;CS19&amp;CHAR(10)&amp;ROUND(J19*AF19,0)&amp;"x"&amp;BP19&amp;"x"&amp;CZ19&amp;CHAR(10)&amp;ROUND(J19*AM19,0)&amp;"x"&amp;BW19&amp;"x"&amp;DG19&amp;CHAR(10)&amp;ROUND(J19*AT19,0)&amp;"x"&amp;CD19&amp;"x"&amp;DN19
)))))</f>
        <v/>
      </c>
      <c r="K64" s="10" t="str">
        <f t="shared" si="47"/>
        <v>259x3x1
311x4x1
328x4x3</v>
      </c>
      <c r="L64" s="10" t="str">
        <f t="shared" si="47"/>
        <v/>
      </c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</row>
    <row r="65" spans="1:49" ht="30" x14ac:dyDescent="0.25">
      <c r="A65" s="15">
        <f t="shared" si="44"/>
        <v>43997</v>
      </c>
      <c r="B65" s="15">
        <f t="shared" si="41"/>
        <v>44003</v>
      </c>
      <c r="C65" s="18" t="str">
        <f t="shared" si="42"/>
        <v>06/15 ~ 06/21</v>
      </c>
      <c r="D65" s="14" t="s">
        <v>13</v>
      </c>
      <c r="E65" s="14">
        <f t="shared" si="39"/>
        <v>13</v>
      </c>
      <c r="F65" s="10" t="str">
        <f>IF(F49=0,
"",
IF(F49=1,
ROUND(F20*N20,0)&amp;"x"&amp;AX20&amp;"x"&amp;CH20,
IF(F49=2,
ROUND(F20*N20,0)&amp;"x"&amp;AX20&amp;"x"&amp;CH20&amp;CHAR(10)&amp;ROUND(F20*U20,0)&amp;"x"&amp;BE20&amp;"x"&amp;CO20,
IF(F49=3,
ROUND(F20*N20,0)&amp;"x"&amp;AX20&amp;"x"&amp;CH20&amp;CHAR(10)&amp;ROUND(F20*U20,0)&amp;"x"&amp;BE20&amp;"x"&amp;CO20&amp;CHAR(10)&amp;ROUND(F20*AB20,0)&amp;"x"&amp;BL20&amp;"x"&amp;CV20,
IF(F49=4,
ROUND(F20*N20,0)&amp;"x"&amp;AX20&amp;"x"&amp;CH20&amp;CHAR(10)&amp;ROUND(F20*U20,0)&amp;"x"&amp;BE20&amp;"x"&amp;CO20&amp;CHAR(10)&amp;ROUND(F20*AB20,0)&amp;"x"&amp;BL20&amp;"x"&amp;CV20&amp;CHAR(10)&amp;ROUND(F20*AI20,0)&amp;"x"&amp;BS20&amp;"x"&amp;DC20,
ROUND(F20*N20,0)&amp;"x"&amp;AX20&amp;"x"&amp;CH20&amp;CHAR(10)&amp;ROUND(F20*U20,0)&amp;"x"&amp;BE20&amp;"x"&amp;CO20&amp;CHAR(10)&amp;ROUND(F20*AB20,0)&amp;"x"&amp;BL20&amp;"x"&amp;CV20&amp;CHAR(10)&amp;ROUND(F20*AI20,0)&amp;"x"&amp;BS20&amp;"x"&amp;DC20&amp;CHAR(10)&amp;ROUND(F20*AP20,0)&amp;"x"&amp;BZ20&amp;"x"&amp;DJ20
)))))</f>
        <v>242x3x1
276x3x1</v>
      </c>
      <c r="G65" s="10" t="str">
        <f t="shared" si="45"/>
        <v/>
      </c>
      <c r="H65" s="10" t="str">
        <f>IF(H49=0,
"",
IF(H49=1,
ROUND(H20*P20,0)&amp;"x"&amp;AZ20&amp;"x"&amp;CJ20,
IF(H49=2,
ROUND(H20*P20,0)&amp;"x"&amp;AZ20&amp;"x"&amp;CJ20&amp;CHAR(10)&amp;ROUND(H20*W20,0)&amp;"x"&amp;BG20&amp;"x"&amp;CQ20,
IF(H49=3,
ROUND(H20*P20,0)&amp;"x"&amp;AZ20&amp;"x"&amp;CJ20&amp;CHAR(10)&amp;ROUND(H20*W20,0)&amp;"x"&amp;BG20&amp;"x"&amp;CQ20&amp;CHAR(10)&amp;ROUND(H20*AD20,0)&amp;"x"&amp;BN20&amp;"x"&amp;CX20,
IF(H49=4,
ROUND(H20*P20,0)&amp;"x"&amp;AZ20&amp;"x"&amp;CJ20&amp;CHAR(10)&amp;ROUND(H20*W20,0)&amp;"x"&amp;BG20&amp;"x"&amp;CQ20&amp;CHAR(10)&amp;ROUND(H20*AD20,0)&amp;"x"&amp;BN20&amp;"x"&amp;CX20&amp;CHAR(10)&amp;ROUND(H20*AK20,0)&amp;"x"&amp;BU20&amp;"x"&amp;DE20,
ROUND(H20*P20,0)&amp;"x"&amp;AZ20&amp;"x"&amp;CJ20&amp;CHAR(10)&amp;ROUND(H20*W20,0)&amp;"x"&amp;BG20&amp;"x"&amp;CQ20&amp;CHAR(10)&amp;ROUND(H20*AD20,0)&amp;"x"&amp;BN20&amp;"x"&amp;CX20&amp;CHAR(10)&amp;ROUND(H20*AK20,0)&amp;"x"&amp;BU20&amp;"x"&amp;DE20&amp;CHAR(10)&amp;ROUND(H20*AR20,0)&amp;"x"&amp;CB20&amp;"x"&amp;DL20
)))))</f>
        <v>259x4x1
293x4x4</v>
      </c>
      <c r="I65" s="10" t="str">
        <f t="shared" si="46"/>
        <v/>
      </c>
      <c r="J65" s="10" t="str">
        <f>IF(J49=0,
"",
IF(J49=1,
ROUND(J20*R20,0)&amp;"x"&amp;BB20&amp;"x"&amp;CL20,
IF(J49=2,
ROUND(J20*R20,0)&amp;"x"&amp;BB20&amp;"x"&amp;CL20&amp;CHAR(10)&amp;ROUND(J20*Y20,0)&amp;"x"&amp;BI20&amp;"x"&amp;CS20,
IF(J49=3,
ROUND(J20*R20,0)&amp;"x"&amp;BB20&amp;"x"&amp;CL20&amp;CHAR(10)&amp;ROUND(J20*Y20,0)&amp;"x"&amp;BI20&amp;"x"&amp;CS20&amp;CHAR(10)&amp;ROUND(J20*AF20,0)&amp;"x"&amp;BP20&amp;"x"&amp;CZ20,
IF(J49=4,
ROUND(J20*R20,0)&amp;"x"&amp;BB20&amp;"x"&amp;CL20&amp;CHAR(10)&amp;ROUND(J20*Y20,0)&amp;"x"&amp;BI20&amp;"x"&amp;CS20&amp;CHAR(10)&amp;ROUND(J20*AF20,0)&amp;"x"&amp;BP20&amp;"x"&amp;CZ20&amp;CHAR(10)&amp;ROUND(J20*AM20,0)&amp;"x"&amp;BW20&amp;"x"&amp;DG20,
ROUND(J20*R20,0)&amp;"x"&amp;BB20&amp;"x"&amp;CL20&amp;CHAR(10)&amp;ROUND(J20*Y20,0)&amp;"x"&amp;BI20&amp;"x"&amp;CS20&amp;CHAR(10)&amp;ROUND(J20*AF20,0)&amp;"x"&amp;BP20&amp;"x"&amp;CZ20&amp;CHAR(10)&amp;ROUND(J20*AM20,0)&amp;"x"&amp;BW20&amp;"x"&amp;DG20&amp;CHAR(10)&amp;ROUND(J20*AT20,0)&amp;"x"&amp;CD20&amp;"x"&amp;DN20
)))))</f>
        <v/>
      </c>
      <c r="K65" s="10" t="str">
        <f>IF(K49=0,
"",
IF(K49=1,
ROUND(K20*S20,0)&amp;"x"&amp;BC20&amp;"x"&amp;CM20,
IF(K49=2,
ROUND(K20*S20,0)&amp;"x"&amp;BC20&amp;"x"&amp;CM20&amp;CHAR(10)&amp;ROUND(K20*Z20,0)&amp;"x"&amp;BJ20&amp;"x"&amp;CT20,
IF(K49=3,
ROUND(K20*S20,0)&amp;"x"&amp;BC20&amp;"x"&amp;CM20&amp;CHAR(10)&amp;ROUND(K20*Z20,0)&amp;"x"&amp;BJ20&amp;"x"&amp;CT20&amp;CHAR(10)&amp;ROUND(K20*AG20,0)&amp;"x"&amp;BQ20&amp;"x"&amp;DA20,
IF(K49=4,
ROUND(K20*S20,0)&amp;"x"&amp;BC20&amp;"x"&amp;CM20&amp;CHAR(10)&amp;ROUND(K20*Z20,0)&amp;"x"&amp;BJ20&amp;"x"&amp;CT20&amp;CHAR(10)&amp;ROUND(K20*AG20,0)&amp;"x"&amp;BQ20&amp;"x"&amp;DA20&amp;CHAR(10)&amp;ROUND(K20*AN20,0)&amp;"x"&amp;BX20&amp;"x"&amp;DH20,
ROUND(K20*S20,0)&amp;"x"&amp;BC20&amp;"x"&amp;CM20&amp;CHAR(10)&amp;ROUND(K20*Z20,0)&amp;"x"&amp;BJ20&amp;"x"&amp;CT20&amp;CHAR(10)&amp;ROUND(K20*AG20,0)&amp;"x"&amp;BQ20&amp;"x"&amp;DA20&amp;CHAR(10)&amp;ROUND(K20*AN20,0)&amp;"x"&amp;BX20&amp;"x"&amp;DH20&amp;CHAR(10)&amp;ROUND(K20*AU20,0)&amp;"x"&amp;CE20&amp;"x"&amp;DO20
)))))</f>
        <v/>
      </c>
      <c r="L65" s="12" t="s">
        <v>19</v>
      </c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</row>
    <row r="66" spans="1:49" x14ac:dyDescent="0.25"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</row>
    <row r="67" spans="1:49" x14ac:dyDescent="0.25"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</row>
    <row r="68" spans="1:49" x14ac:dyDescent="0.25"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</row>
    <row r="69" spans="1:49" x14ac:dyDescent="0.25"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</row>
    <row r="70" spans="1:49" x14ac:dyDescent="0.25"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</row>
    <row r="71" spans="1:49" x14ac:dyDescent="0.25"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</row>
    <row r="72" spans="1:49" x14ac:dyDescent="0.25"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</row>
    <row r="73" spans="1:49" x14ac:dyDescent="0.25"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</row>
    <row r="74" spans="1:49" x14ac:dyDescent="0.25"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</row>
    <row r="75" spans="1:49" x14ac:dyDescent="0.25"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</row>
    <row r="76" spans="1:49" x14ac:dyDescent="0.25"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</row>
    <row r="77" spans="1:49" x14ac:dyDescent="0.25"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</row>
    <row r="78" spans="1:49" x14ac:dyDescent="0.25"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</row>
    <row r="79" spans="1:49" x14ac:dyDescent="0.25"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</row>
    <row r="80" spans="1:49" x14ac:dyDescent="0.25"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</row>
    <row r="81" spans="14:49" x14ac:dyDescent="0.25"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</row>
    <row r="82" spans="14:49" x14ac:dyDescent="0.25"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</row>
    <row r="83" spans="14:49" x14ac:dyDescent="0.25"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</row>
    <row r="84" spans="14:49" x14ac:dyDescent="0.25"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</row>
    <row r="85" spans="14:49" x14ac:dyDescent="0.25"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</row>
    <row r="86" spans="14:49" x14ac:dyDescent="0.25"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</row>
    <row r="87" spans="14:49" x14ac:dyDescent="0.25"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</row>
    <row r="88" spans="14:49" x14ac:dyDescent="0.25"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</row>
    <row r="89" spans="14:49" x14ac:dyDescent="0.25"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</row>
    <row r="90" spans="14:49" x14ac:dyDescent="0.25"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</row>
    <row r="91" spans="14:49" x14ac:dyDescent="0.25"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</row>
    <row r="92" spans="14:49" x14ac:dyDescent="0.25"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</row>
    <row r="93" spans="14:49" x14ac:dyDescent="0.25"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</row>
    <row r="94" spans="14:49" x14ac:dyDescent="0.25"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</row>
    <row r="95" spans="14:49" x14ac:dyDescent="0.25"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</row>
    <row r="96" spans="14:49" x14ac:dyDescent="0.25"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</row>
    <row r="97" spans="14:49" x14ac:dyDescent="0.25"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</row>
    <row r="98" spans="14:49" x14ac:dyDescent="0.25"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</row>
    <row r="99" spans="14:49" x14ac:dyDescent="0.25"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</row>
    <row r="100" spans="14:49" x14ac:dyDescent="0.25"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</row>
    <row r="101" spans="14:49" x14ac:dyDescent="0.25"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</row>
    <row r="102" spans="14:49" x14ac:dyDescent="0.25"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</row>
    <row r="103" spans="14:49" x14ac:dyDescent="0.25"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</row>
    <row r="104" spans="14:49" x14ac:dyDescent="0.25"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D344F-CD3D-42FC-92D6-53BDDE983C46}">
  <dimension ref="A2:DO104"/>
  <sheetViews>
    <sheetView workbookViewId="0"/>
  </sheetViews>
  <sheetFormatPr defaultRowHeight="15" outlineLevelRow="1" outlineLevelCol="1" x14ac:dyDescent="0.25"/>
  <cols>
    <col min="2" max="2" width="10.140625" customWidth="1"/>
    <col min="11" max="11" width="3.140625" customWidth="1"/>
    <col min="12" max="46" width="4.28515625" hidden="1" customWidth="1" outlineLevel="1"/>
    <col min="47" max="47" width="4.28515625" customWidth="1" collapsed="1"/>
    <col min="48" max="82" width="3.5703125" hidden="1" customWidth="1" outlineLevel="1"/>
    <col min="83" max="83" width="3.140625" customWidth="1" collapsed="1"/>
    <col min="84" max="118" width="3.5703125" hidden="1" customWidth="1" outlineLevel="1"/>
    <col min="119" max="119" width="9.140625" collapsed="1"/>
  </cols>
  <sheetData>
    <row r="2" spans="1:118" x14ac:dyDescent="0.25">
      <c r="B2" t="s">
        <v>21</v>
      </c>
    </row>
    <row r="3" spans="1:118" x14ac:dyDescent="0.25">
      <c r="B3" s="15">
        <v>43948</v>
      </c>
    </row>
    <row r="4" spans="1:118" x14ac:dyDescent="0.25">
      <c r="B4" t="s">
        <v>22</v>
      </c>
    </row>
    <row r="5" spans="1:118" x14ac:dyDescent="0.25">
      <c r="B5" s="15">
        <f>J35</f>
        <v>44038</v>
      </c>
      <c r="L5" t="s">
        <v>15</v>
      </c>
      <c r="AV5" t="s">
        <v>16</v>
      </c>
      <c r="CF5" t="s">
        <v>16</v>
      </c>
    </row>
    <row r="6" spans="1:118" x14ac:dyDescent="0.25">
      <c r="D6" t="s">
        <v>14</v>
      </c>
      <c r="L6" s="2">
        <v>1</v>
      </c>
      <c r="M6" s="2">
        <f t="shared" ref="M6:R6" si="0">L6</f>
        <v>1</v>
      </c>
      <c r="N6" s="2">
        <f t="shared" si="0"/>
        <v>1</v>
      </c>
      <c r="O6" s="2">
        <f t="shared" si="0"/>
        <v>1</v>
      </c>
      <c r="P6" s="2">
        <f t="shared" si="0"/>
        <v>1</v>
      </c>
      <c r="Q6" s="2">
        <f t="shared" si="0"/>
        <v>1</v>
      </c>
      <c r="R6" s="2">
        <f t="shared" si="0"/>
        <v>1</v>
      </c>
      <c r="S6" s="2">
        <v>2</v>
      </c>
      <c r="T6" s="2">
        <f t="shared" ref="T6:Y6" si="1">S6</f>
        <v>2</v>
      </c>
      <c r="U6" s="2">
        <f t="shared" si="1"/>
        <v>2</v>
      </c>
      <c r="V6" s="2">
        <f t="shared" si="1"/>
        <v>2</v>
      </c>
      <c r="W6" s="2">
        <f t="shared" si="1"/>
        <v>2</v>
      </c>
      <c r="X6" s="2">
        <f t="shared" si="1"/>
        <v>2</v>
      </c>
      <c r="Y6" s="2">
        <f t="shared" si="1"/>
        <v>2</v>
      </c>
      <c r="Z6" s="2">
        <v>3</v>
      </c>
      <c r="AA6" s="2">
        <f t="shared" ref="AA6:AF6" si="2">Z6</f>
        <v>3</v>
      </c>
      <c r="AB6" s="2">
        <f t="shared" si="2"/>
        <v>3</v>
      </c>
      <c r="AC6" s="2">
        <f t="shared" si="2"/>
        <v>3</v>
      </c>
      <c r="AD6" s="2">
        <f t="shared" si="2"/>
        <v>3</v>
      </c>
      <c r="AE6" s="2">
        <f t="shared" si="2"/>
        <v>3</v>
      </c>
      <c r="AF6" s="2">
        <f t="shared" si="2"/>
        <v>3</v>
      </c>
      <c r="AG6" s="2">
        <v>4</v>
      </c>
      <c r="AH6" s="2">
        <f t="shared" ref="AH6:AM6" si="3">AG6</f>
        <v>4</v>
      </c>
      <c r="AI6" s="2">
        <f t="shared" si="3"/>
        <v>4</v>
      </c>
      <c r="AJ6" s="2">
        <f t="shared" si="3"/>
        <v>4</v>
      </c>
      <c r="AK6" s="2">
        <f t="shared" si="3"/>
        <v>4</v>
      </c>
      <c r="AL6" s="2">
        <f t="shared" si="3"/>
        <v>4</v>
      </c>
      <c r="AM6" s="2">
        <f t="shared" si="3"/>
        <v>4</v>
      </c>
      <c r="AN6" s="2">
        <v>5</v>
      </c>
      <c r="AO6" s="2">
        <f t="shared" ref="AO6:AT6" si="4">AN6</f>
        <v>5</v>
      </c>
      <c r="AP6" s="2">
        <f t="shared" si="4"/>
        <v>5</v>
      </c>
      <c r="AQ6" s="2">
        <f t="shared" si="4"/>
        <v>5</v>
      </c>
      <c r="AR6" s="2">
        <f t="shared" si="4"/>
        <v>5</v>
      </c>
      <c r="AS6" s="2">
        <f t="shared" si="4"/>
        <v>5</v>
      </c>
      <c r="AT6" s="2">
        <f t="shared" si="4"/>
        <v>5</v>
      </c>
      <c r="AV6" s="2">
        <f>L6</f>
        <v>1</v>
      </c>
      <c r="AW6" s="2">
        <f t="shared" ref="AW6:BL7" si="5">M6</f>
        <v>1</v>
      </c>
      <c r="AX6" s="2">
        <f t="shared" si="5"/>
        <v>1</v>
      </c>
      <c r="AY6" s="2">
        <f t="shared" si="5"/>
        <v>1</v>
      </c>
      <c r="AZ6" s="2">
        <f t="shared" si="5"/>
        <v>1</v>
      </c>
      <c r="BA6" s="2">
        <f t="shared" si="5"/>
        <v>1</v>
      </c>
      <c r="BB6" s="2">
        <f t="shared" si="5"/>
        <v>1</v>
      </c>
      <c r="BC6" s="2">
        <f t="shared" si="5"/>
        <v>2</v>
      </c>
      <c r="BD6" s="2">
        <f t="shared" si="5"/>
        <v>2</v>
      </c>
      <c r="BE6" s="2">
        <f t="shared" si="5"/>
        <v>2</v>
      </c>
      <c r="BF6" s="2">
        <f t="shared" si="5"/>
        <v>2</v>
      </c>
      <c r="BG6" s="2">
        <f t="shared" si="5"/>
        <v>2</v>
      </c>
      <c r="BH6" s="2">
        <f t="shared" si="5"/>
        <v>2</v>
      </c>
      <c r="BI6" s="2">
        <f t="shared" si="5"/>
        <v>2</v>
      </c>
      <c r="BJ6" s="2">
        <f t="shared" si="5"/>
        <v>3</v>
      </c>
      <c r="BK6" s="2">
        <f t="shared" si="5"/>
        <v>3</v>
      </c>
      <c r="BL6" s="2">
        <f t="shared" si="5"/>
        <v>3</v>
      </c>
      <c r="BM6" s="2">
        <f t="shared" ref="BM6:CB7" si="6">AC6</f>
        <v>3</v>
      </c>
      <c r="BN6" s="2">
        <f t="shared" si="6"/>
        <v>3</v>
      </c>
      <c r="BO6" s="2">
        <f t="shared" si="6"/>
        <v>3</v>
      </c>
      <c r="BP6" s="2">
        <f t="shared" si="6"/>
        <v>3</v>
      </c>
      <c r="BQ6" s="2">
        <f t="shared" si="6"/>
        <v>4</v>
      </c>
      <c r="BR6" s="2">
        <f t="shared" si="6"/>
        <v>4</v>
      </c>
      <c r="BS6" s="2">
        <f t="shared" si="6"/>
        <v>4</v>
      </c>
      <c r="BT6" s="2">
        <f t="shared" si="6"/>
        <v>4</v>
      </c>
      <c r="BU6" s="2">
        <f t="shared" si="6"/>
        <v>4</v>
      </c>
      <c r="BV6" s="2">
        <f t="shared" si="6"/>
        <v>4</v>
      </c>
      <c r="BW6" s="2">
        <f t="shared" si="6"/>
        <v>4</v>
      </c>
      <c r="BX6" s="2">
        <f t="shared" si="6"/>
        <v>5</v>
      </c>
      <c r="BY6" s="2">
        <f t="shared" si="6"/>
        <v>5</v>
      </c>
      <c r="BZ6" s="2">
        <f t="shared" si="6"/>
        <v>5</v>
      </c>
      <c r="CA6" s="2">
        <f t="shared" si="6"/>
        <v>5</v>
      </c>
      <c r="CB6" s="2">
        <f t="shared" si="6"/>
        <v>5</v>
      </c>
      <c r="CC6" s="2">
        <f t="shared" ref="CC6:CD7" si="7">AS6</f>
        <v>5</v>
      </c>
      <c r="CD6" s="2">
        <f t="shared" si="7"/>
        <v>5</v>
      </c>
      <c r="CF6" s="2">
        <f>L6</f>
        <v>1</v>
      </c>
      <c r="CG6" s="2">
        <f t="shared" ref="CG6:CV7" si="8">M6</f>
        <v>1</v>
      </c>
      <c r="CH6" s="2">
        <f t="shared" si="8"/>
        <v>1</v>
      </c>
      <c r="CI6" s="2">
        <f t="shared" si="8"/>
        <v>1</v>
      </c>
      <c r="CJ6" s="2">
        <f t="shared" si="8"/>
        <v>1</v>
      </c>
      <c r="CK6" s="2">
        <f t="shared" si="8"/>
        <v>1</v>
      </c>
      <c r="CL6" s="2">
        <f t="shared" si="8"/>
        <v>1</v>
      </c>
      <c r="CM6" s="2">
        <f t="shared" si="8"/>
        <v>2</v>
      </c>
      <c r="CN6" s="2">
        <f t="shared" si="8"/>
        <v>2</v>
      </c>
      <c r="CO6" s="2">
        <f t="shared" si="8"/>
        <v>2</v>
      </c>
      <c r="CP6" s="2">
        <f t="shared" si="8"/>
        <v>2</v>
      </c>
      <c r="CQ6" s="2">
        <f t="shared" si="8"/>
        <v>2</v>
      </c>
      <c r="CR6" s="2">
        <f t="shared" si="8"/>
        <v>2</v>
      </c>
      <c r="CS6" s="2">
        <f t="shared" si="8"/>
        <v>2</v>
      </c>
      <c r="CT6" s="2">
        <f t="shared" si="8"/>
        <v>3</v>
      </c>
      <c r="CU6" s="2">
        <f t="shared" si="8"/>
        <v>3</v>
      </c>
      <c r="CV6" s="2">
        <f t="shared" si="8"/>
        <v>3</v>
      </c>
      <c r="CW6" s="2">
        <f t="shared" ref="CW6:DL7" si="9">AC6</f>
        <v>3</v>
      </c>
      <c r="CX6" s="2">
        <f t="shared" si="9"/>
        <v>3</v>
      </c>
      <c r="CY6" s="2">
        <f t="shared" si="9"/>
        <v>3</v>
      </c>
      <c r="CZ6" s="2">
        <f t="shared" si="9"/>
        <v>3</v>
      </c>
      <c r="DA6" s="2">
        <f t="shared" si="9"/>
        <v>4</v>
      </c>
      <c r="DB6" s="2">
        <f t="shared" si="9"/>
        <v>4</v>
      </c>
      <c r="DC6" s="2">
        <f t="shared" si="9"/>
        <v>4</v>
      </c>
      <c r="DD6" s="2">
        <f t="shared" si="9"/>
        <v>4</v>
      </c>
      <c r="DE6" s="2">
        <f t="shared" si="9"/>
        <v>4</v>
      </c>
      <c r="DF6" s="2">
        <f t="shared" si="9"/>
        <v>4</v>
      </c>
      <c r="DG6" s="2">
        <f t="shared" si="9"/>
        <v>4</v>
      </c>
      <c r="DH6" s="2">
        <f t="shared" si="9"/>
        <v>5</v>
      </c>
      <c r="DI6" s="2">
        <f t="shared" si="9"/>
        <v>5</v>
      </c>
      <c r="DJ6" s="2">
        <f t="shared" si="9"/>
        <v>5</v>
      </c>
      <c r="DK6" s="2">
        <f t="shared" si="9"/>
        <v>5</v>
      </c>
      <c r="DL6" s="2">
        <f t="shared" si="9"/>
        <v>5</v>
      </c>
      <c r="DM6" s="2">
        <f t="shared" ref="DM6:DN7" si="10">AS6</f>
        <v>5</v>
      </c>
      <c r="DN6" s="2">
        <f t="shared" si="10"/>
        <v>5</v>
      </c>
    </row>
    <row r="7" spans="1:118" x14ac:dyDescent="0.25">
      <c r="A7" s="8" t="s">
        <v>17</v>
      </c>
      <c r="B7" s="4" t="s">
        <v>8</v>
      </c>
      <c r="C7" s="4" t="s">
        <v>7</v>
      </c>
      <c r="D7" s="4" t="s">
        <v>0</v>
      </c>
      <c r="E7" s="4" t="s">
        <v>1</v>
      </c>
      <c r="F7" s="4" t="s">
        <v>2</v>
      </c>
      <c r="G7" s="4" t="s">
        <v>3</v>
      </c>
      <c r="H7" s="4" t="s">
        <v>4</v>
      </c>
      <c r="I7" s="4" t="s">
        <v>5</v>
      </c>
      <c r="J7" s="4" t="s">
        <v>6</v>
      </c>
      <c r="L7" s="4" t="s">
        <v>0</v>
      </c>
      <c r="M7" s="4" t="s">
        <v>1</v>
      </c>
      <c r="N7" s="4" t="s">
        <v>2</v>
      </c>
      <c r="O7" s="4" t="s">
        <v>3</v>
      </c>
      <c r="P7" s="4" t="s">
        <v>4</v>
      </c>
      <c r="Q7" s="4" t="s">
        <v>5</v>
      </c>
      <c r="R7" s="4" t="s">
        <v>6</v>
      </c>
      <c r="S7" s="4" t="s">
        <v>0</v>
      </c>
      <c r="T7" s="4" t="s">
        <v>1</v>
      </c>
      <c r="U7" s="4" t="s">
        <v>2</v>
      </c>
      <c r="V7" s="4" t="s">
        <v>3</v>
      </c>
      <c r="W7" s="4" t="s">
        <v>4</v>
      </c>
      <c r="X7" s="4" t="s">
        <v>5</v>
      </c>
      <c r="Y7" s="4" t="s">
        <v>6</v>
      </c>
      <c r="Z7" s="4" t="s">
        <v>0</v>
      </c>
      <c r="AA7" s="4" t="s">
        <v>1</v>
      </c>
      <c r="AB7" s="4" t="s">
        <v>2</v>
      </c>
      <c r="AC7" s="4" t="s">
        <v>3</v>
      </c>
      <c r="AD7" s="4" t="s">
        <v>4</v>
      </c>
      <c r="AE7" s="4" t="s">
        <v>5</v>
      </c>
      <c r="AF7" s="4" t="s">
        <v>6</v>
      </c>
      <c r="AG7" s="4" t="s">
        <v>0</v>
      </c>
      <c r="AH7" s="4" t="s">
        <v>1</v>
      </c>
      <c r="AI7" s="4" t="s">
        <v>2</v>
      </c>
      <c r="AJ7" s="4" t="s">
        <v>3</v>
      </c>
      <c r="AK7" s="4" t="s">
        <v>4</v>
      </c>
      <c r="AL7" s="4" t="s">
        <v>5</v>
      </c>
      <c r="AM7" s="4" t="s">
        <v>6</v>
      </c>
      <c r="AN7" s="4" t="s">
        <v>0</v>
      </c>
      <c r="AO7" s="4" t="s">
        <v>1</v>
      </c>
      <c r="AP7" s="4" t="s">
        <v>2</v>
      </c>
      <c r="AQ7" s="4" t="s">
        <v>3</v>
      </c>
      <c r="AR7" s="4" t="s">
        <v>4</v>
      </c>
      <c r="AS7" s="4" t="s">
        <v>5</v>
      </c>
      <c r="AT7" s="4" t="s">
        <v>6</v>
      </c>
      <c r="AV7" s="4" t="str">
        <f t="shared" ref="AV7" si="11">L7</f>
        <v>M</v>
      </c>
      <c r="AW7" s="4" t="str">
        <f t="shared" si="5"/>
        <v>T</v>
      </c>
      <c r="AX7" s="4" t="str">
        <f t="shared" si="5"/>
        <v>W</v>
      </c>
      <c r="AY7" s="4" t="str">
        <f t="shared" si="5"/>
        <v>H</v>
      </c>
      <c r="AZ7" s="4" t="str">
        <f t="shared" si="5"/>
        <v>F</v>
      </c>
      <c r="BA7" s="4" t="str">
        <f t="shared" si="5"/>
        <v>Sa</v>
      </c>
      <c r="BB7" s="4" t="str">
        <f t="shared" si="5"/>
        <v>Su</v>
      </c>
      <c r="BC7" s="4" t="str">
        <f t="shared" si="5"/>
        <v>M</v>
      </c>
      <c r="BD7" s="4" t="str">
        <f t="shared" si="5"/>
        <v>T</v>
      </c>
      <c r="BE7" s="4" t="str">
        <f t="shared" si="5"/>
        <v>W</v>
      </c>
      <c r="BF7" s="4" t="str">
        <f t="shared" si="5"/>
        <v>H</v>
      </c>
      <c r="BG7" s="4" t="str">
        <f t="shared" si="5"/>
        <v>F</v>
      </c>
      <c r="BH7" s="4" t="str">
        <f t="shared" si="5"/>
        <v>Sa</v>
      </c>
      <c r="BI7" s="4" t="str">
        <f t="shared" si="5"/>
        <v>Su</v>
      </c>
      <c r="BJ7" s="4" t="str">
        <f t="shared" si="5"/>
        <v>M</v>
      </c>
      <c r="BK7" s="4" t="str">
        <f t="shared" si="5"/>
        <v>T</v>
      </c>
      <c r="BL7" s="4" t="str">
        <f t="shared" si="5"/>
        <v>W</v>
      </c>
      <c r="BM7" s="4" t="str">
        <f t="shared" si="6"/>
        <v>H</v>
      </c>
      <c r="BN7" s="4" t="str">
        <f t="shared" si="6"/>
        <v>F</v>
      </c>
      <c r="BO7" s="4" t="str">
        <f t="shared" si="6"/>
        <v>Sa</v>
      </c>
      <c r="BP7" s="4" t="str">
        <f t="shared" si="6"/>
        <v>Su</v>
      </c>
      <c r="BQ7" s="4" t="str">
        <f t="shared" si="6"/>
        <v>M</v>
      </c>
      <c r="BR7" s="4" t="str">
        <f t="shared" si="6"/>
        <v>T</v>
      </c>
      <c r="BS7" s="4" t="str">
        <f t="shared" si="6"/>
        <v>W</v>
      </c>
      <c r="BT7" s="4" t="str">
        <f t="shared" si="6"/>
        <v>H</v>
      </c>
      <c r="BU7" s="4" t="str">
        <f t="shared" si="6"/>
        <v>F</v>
      </c>
      <c r="BV7" s="4" t="str">
        <f t="shared" si="6"/>
        <v>Sa</v>
      </c>
      <c r="BW7" s="4" t="str">
        <f t="shared" si="6"/>
        <v>Su</v>
      </c>
      <c r="BX7" s="4" t="str">
        <f t="shared" si="6"/>
        <v>M</v>
      </c>
      <c r="BY7" s="4" t="str">
        <f t="shared" si="6"/>
        <v>T</v>
      </c>
      <c r="BZ7" s="4" t="str">
        <f t="shared" si="6"/>
        <v>W</v>
      </c>
      <c r="CA7" s="4" t="str">
        <f t="shared" si="6"/>
        <v>H</v>
      </c>
      <c r="CB7" s="4" t="str">
        <f t="shared" si="6"/>
        <v>F</v>
      </c>
      <c r="CC7" s="4" t="str">
        <f t="shared" si="7"/>
        <v>Sa</v>
      </c>
      <c r="CD7" s="4" t="str">
        <f t="shared" si="7"/>
        <v>Su</v>
      </c>
      <c r="CF7" s="4" t="str">
        <f t="shared" ref="CF7" si="12">L7</f>
        <v>M</v>
      </c>
      <c r="CG7" s="4" t="str">
        <f t="shared" si="8"/>
        <v>T</v>
      </c>
      <c r="CH7" s="4" t="str">
        <f t="shared" si="8"/>
        <v>W</v>
      </c>
      <c r="CI7" s="4" t="str">
        <f t="shared" si="8"/>
        <v>H</v>
      </c>
      <c r="CJ7" s="4" t="str">
        <f t="shared" si="8"/>
        <v>F</v>
      </c>
      <c r="CK7" s="4" t="str">
        <f t="shared" si="8"/>
        <v>Sa</v>
      </c>
      <c r="CL7" s="4" t="str">
        <f t="shared" si="8"/>
        <v>Su</v>
      </c>
      <c r="CM7" s="4" t="str">
        <f t="shared" si="8"/>
        <v>M</v>
      </c>
      <c r="CN7" s="4" t="str">
        <f t="shared" si="8"/>
        <v>T</v>
      </c>
      <c r="CO7" s="4" t="str">
        <f t="shared" si="8"/>
        <v>W</v>
      </c>
      <c r="CP7" s="4" t="str">
        <f t="shared" si="8"/>
        <v>H</v>
      </c>
      <c r="CQ7" s="4" t="str">
        <f t="shared" si="8"/>
        <v>F</v>
      </c>
      <c r="CR7" s="4" t="str">
        <f t="shared" si="8"/>
        <v>Sa</v>
      </c>
      <c r="CS7" s="4" t="str">
        <f t="shared" si="8"/>
        <v>Su</v>
      </c>
      <c r="CT7" s="4" t="str">
        <f t="shared" si="8"/>
        <v>M</v>
      </c>
      <c r="CU7" s="4" t="str">
        <f t="shared" si="8"/>
        <v>T</v>
      </c>
      <c r="CV7" s="4" t="str">
        <f t="shared" si="8"/>
        <v>W</v>
      </c>
      <c r="CW7" s="4" t="str">
        <f t="shared" si="9"/>
        <v>H</v>
      </c>
      <c r="CX7" s="4" t="str">
        <f t="shared" si="9"/>
        <v>F</v>
      </c>
      <c r="CY7" s="4" t="str">
        <f t="shared" si="9"/>
        <v>Sa</v>
      </c>
      <c r="CZ7" s="4" t="str">
        <f t="shared" si="9"/>
        <v>Su</v>
      </c>
      <c r="DA7" s="4" t="str">
        <f t="shared" si="9"/>
        <v>M</v>
      </c>
      <c r="DB7" s="4" t="str">
        <f t="shared" si="9"/>
        <v>T</v>
      </c>
      <c r="DC7" s="4" t="str">
        <f t="shared" si="9"/>
        <v>W</v>
      </c>
      <c r="DD7" s="4" t="str">
        <f t="shared" si="9"/>
        <v>H</v>
      </c>
      <c r="DE7" s="4" t="str">
        <f t="shared" si="9"/>
        <v>F</v>
      </c>
      <c r="DF7" s="4" t="str">
        <f t="shared" si="9"/>
        <v>Sa</v>
      </c>
      <c r="DG7" s="4" t="str">
        <f t="shared" si="9"/>
        <v>Su</v>
      </c>
      <c r="DH7" s="4" t="str">
        <f t="shared" si="9"/>
        <v>M</v>
      </c>
      <c r="DI7" s="4" t="str">
        <f t="shared" si="9"/>
        <v>T</v>
      </c>
      <c r="DJ7" s="4" t="str">
        <f t="shared" si="9"/>
        <v>W</v>
      </c>
      <c r="DK7" s="4" t="str">
        <f t="shared" si="9"/>
        <v>H</v>
      </c>
      <c r="DL7" s="4" t="str">
        <f t="shared" si="9"/>
        <v>F</v>
      </c>
      <c r="DM7" s="4" t="str">
        <f t="shared" si="10"/>
        <v>Sa</v>
      </c>
      <c r="DN7" s="4" t="str">
        <f t="shared" si="10"/>
        <v>Su</v>
      </c>
    </row>
    <row r="8" spans="1:118" x14ac:dyDescent="0.25">
      <c r="B8" s="7" t="s">
        <v>9</v>
      </c>
      <c r="C8" s="2">
        <v>1</v>
      </c>
      <c r="D8" s="5">
        <v>355</v>
      </c>
      <c r="E8" s="5">
        <v>355</v>
      </c>
      <c r="F8" s="5">
        <v>355</v>
      </c>
      <c r="G8" s="5">
        <v>355</v>
      </c>
      <c r="H8" s="5">
        <v>355</v>
      </c>
      <c r="I8" s="5">
        <v>355</v>
      </c>
      <c r="J8" s="5">
        <v>355</v>
      </c>
      <c r="L8" s="3">
        <v>0.65</v>
      </c>
      <c r="M8" s="3">
        <v>0.65</v>
      </c>
      <c r="N8" s="3">
        <v>0.7</v>
      </c>
      <c r="O8" s="3"/>
      <c r="P8" s="3"/>
      <c r="Q8" s="3"/>
      <c r="R8" s="3"/>
      <c r="S8" s="3">
        <v>0.7</v>
      </c>
      <c r="T8" s="3">
        <v>0.7</v>
      </c>
      <c r="U8" s="3">
        <v>0.75</v>
      </c>
      <c r="V8" s="3"/>
      <c r="W8" s="3"/>
      <c r="X8" s="3"/>
      <c r="Y8" s="3"/>
      <c r="Z8" s="3">
        <v>0.75</v>
      </c>
      <c r="AA8" s="3">
        <v>0.75</v>
      </c>
      <c r="AB8" s="3">
        <v>0.8</v>
      </c>
      <c r="AC8" s="3"/>
      <c r="AD8" s="3"/>
      <c r="AE8" s="3"/>
      <c r="AF8" s="3"/>
      <c r="AG8" s="3">
        <v>0.8</v>
      </c>
      <c r="AH8" s="3">
        <v>0.8</v>
      </c>
      <c r="AI8" s="3">
        <v>0.9</v>
      </c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V8">
        <v>8</v>
      </c>
      <c r="AW8">
        <v>8</v>
      </c>
      <c r="AX8">
        <v>5</v>
      </c>
      <c r="BC8">
        <v>5</v>
      </c>
      <c r="BD8">
        <v>5</v>
      </c>
      <c r="BE8">
        <v>3</v>
      </c>
      <c r="BJ8">
        <v>2</v>
      </c>
      <c r="BK8">
        <v>2</v>
      </c>
      <c r="BL8">
        <v>2</v>
      </c>
      <c r="BQ8">
        <v>1</v>
      </c>
      <c r="BR8">
        <v>1</v>
      </c>
      <c r="BS8">
        <v>1</v>
      </c>
      <c r="CF8">
        <v>3</v>
      </c>
      <c r="CG8">
        <v>3</v>
      </c>
      <c r="CH8">
        <v>4</v>
      </c>
      <c r="CM8">
        <v>1</v>
      </c>
      <c r="CN8">
        <v>1</v>
      </c>
      <c r="CO8">
        <v>1</v>
      </c>
      <c r="CT8">
        <v>2</v>
      </c>
      <c r="CU8">
        <v>2</v>
      </c>
      <c r="CV8">
        <v>2</v>
      </c>
      <c r="DA8">
        <v>1</v>
      </c>
      <c r="DB8">
        <v>1</v>
      </c>
      <c r="DC8">
        <v>1</v>
      </c>
    </row>
    <row r="9" spans="1:118" x14ac:dyDescent="0.25">
      <c r="B9" s="7" t="s">
        <v>9</v>
      </c>
      <c r="C9" s="2">
        <f>C8+1</f>
        <v>2</v>
      </c>
      <c r="D9" s="1">
        <v>355</v>
      </c>
      <c r="E9" s="1">
        <v>355</v>
      </c>
      <c r="F9" s="1">
        <v>355</v>
      </c>
      <c r="G9" s="1">
        <v>355</v>
      </c>
      <c r="H9" s="1">
        <v>355</v>
      </c>
      <c r="I9" s="1">
        <v>355</v>
      </c>
      <c r="J9" s="1">
        <v>355</v>
      </c>
      <c r="L9" s="3">
        <v>0.8</v>
      </c>
      <c r="M9" s="3"/>
      <c r="N9" s="3">
        <v>0.82499999999999996</v>
      </c>
      <c r="O9" s="3"/>
      <c r="P9" s="3">
        <v>0.85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>
        <v>5</v>
      </c>
      <c r="AX9">
        <v>5</v>
      </c>
      <c r="AZ9">
        <v>5</v>
      </c>
      <c r="CF9">
        <v>1</v>
      </c>
      <c r="CH9">
        <v>1</v>
      </c>
      <c r="CJ9">
        <v>1</v>
      </c>
    </row>
    <row r="10" spans="1:118" x14ac:dyDescent="0.25">
      <c r="A10">
        <v>10</v>
      </c>
      <c r="B10" s="7" t="s">
        <v>10</v>
      </c>
      <c r="C10" s="2">
        <f t="shared" ref="C10:C20" si="13">C9+1</f>
        <v>3</v>
      </c>
      <c r="D10" s="1">
        <f t="shared" ref="D10:J15" si="14">D9+$A10</f>
        <v>365</v>
      </c>
      <c r="E10" s="1">
        <f t="shared" si="14"/>
        <v>365</v>
      </c>
      <c r="F10" s="1">
        <f t="shared" si="14"/>
        <v>365</v>
      </c>
      <c r="G10" s="1">
        <f t="shared" si="14"/>
        <v>365</v>
      </c>
      <c r="H10" s="1">
        <f t="shared" si="14"/>
        <v>365</v>
      </c>
      <c r="I10" s="1">
        <f t="shared" si="14"/>
        <v>365</v>
      </c>
      <c r="J10" s="1">
        <f t="shared" si="14"/>
        <v>365</v>
      </c>
      <c r="L10" s="3">
        <v>0.7</v>
      </c>
      <c r="M10" s="3"/>
      <c r="N10" s="3">
        <v>0.75</v>
      </c>
      <c r="O10" s="3"/>
      <c r="P10" s="3">
        <v>0.8</v>
      </c>
      <c r="Q10" s="3">
        <v>0.85</v>
      </c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>
        <v>9</v>
      </c>
      <c r="AX10">
        <v>7</v>
      </c>
      <c r="AZ10">
        <v>5</v>
      </c>
      <c r="BA10">
        <v>3</v>
      </c>
      <c r="CF10">
        <v>4</v>
      </c>
      <c r="CH10">
        <v>5</v>
      </c>
      <c r="CJ10">
        <v>7</v>
      </c>
      <c r="CK10">
        <v>10</v>
      </c>
    </row>
    <row r="11" spans="1:118" x14ac:dyDescent="0.25">
      <c r="A11">
        <v>10</v>
      </c>
      <c r="B11" s="7" t="s">
        <v>10</v>
      </c>
      <c r="C11" s="2">
        <f t="shared" si="13"/>
        <v>4</v>
      </c>
      <c r="D11" s="1">
        <f t="shared" si="14"/>
        <v>375</v>
      </c>
      <c r="E11" s="1">
        <f t="shared" si="14"/>
        <v>375</v>
      </c>
      <c r="F11" s="1">
        <f t="shared" si="14"/>
        <v>375</v>
      </c>
      <c r="G11" s="1">
        <f t="shared" si="14"/>
        <v>375</v>
      </c>
      <c r="H11" s="1">
        <f t="shared" si="14"/>
        <v>375</v>
      </c>
      <c r="I11" s="1">
        <f t="shared" si="14"/>
        <v>375</v>
      </c>
      <c r="J11" s="1">
        <f t="shared" si="14"/>
        <v>375</v>
      </c>
      <c r="L11" s="3">
        <v>0.7</v>
      </c>
      <c r="M11" s="3"/>
      <c r="N11" s="3">
        <v>0.75</v>
      </c>
      <c r="O11" s="3"/>
      <c r="P11" s="3">
        <v>0.8</v>
      </c>
      <c r="Q11" s="3">
        <v>0.85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>
        <v>9</v>
      </c>
      <c r="AX11">
        <v>7</v>
      </c>
      <c r="AZ11">
        <v>5</v>
      </c>
      <c r="BA11">
        <v>3</v>
      </c>
      <c r="CF11">
        <v>4</v>
      </c>
      <c r="CH11">
        <v>5</v>
      </c>
      <c r="CJ11">
        <v>7</v>
      </c>
      <c r="CK11">
        <v>10</v>
      </c>
    </row>
    <row r="12" spans="1:118" x14ac:dyDescent="0.25">
      <c r="B12" s="7" t="s">
        <v>10</v>
      </c>
      <c r="C12" s="2">
        <f t="shared" si="13"/>
        <v>5</v>
      </c>
      <c r="D12" s="1">
        <f t="shared" si="14"/>
        <v>375</v>
      </c>
      <c r="E12" s="1">
        <f t="shared" si="14"/>
        <v>375</v>
      </c>
      <c r="F12" s="1">
        <f t="shared" si="14"/>
        <v>375</v>
      </c>
      <c r="G12" s="1">
        <f t="shared" si="14"/>
        <v>375</v>
      </c>
      <c r="H12" s="1">
        <f t="shared" si="14"/>
        <v>375</v>
      </c>
      <c r="I12" s="1">
        <f t="shared" si="14"/>
        <v>375</v>
      </c>
      <c r="J12" s="1">
        <f t="shared" si="14"/>
        <v>375</v>
      </c>
      <c r="L12" s="3">
        <v>0.7</v>
      </c>
      <c r="M12" s="3"/>
      <c r="N12" s="3">
        <v>0.75</v>
      </c>
      <c r="O12" s="3"/>
      <c r="P12" s="3">
        <v>0.8</v>
      </c>
      <c r="Q12" s="3">
        <v>0.85</v>
      </c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>
        <v>9</v>
      </c>
      <c r="AX12">
        <v>7</v>
      </c>
      <c r="AZ12">
        <v>5</v>
      </c>
      <c r="BA12">
        <v>3</v>
      </c>
      <c r="CF12">
        <v>4</v>
      </c>
      <c r="CH12">
        <v>5</v>
      </c>
      <c r="CJ12">
        <v>7</v>
      </c>
      <c r="CK12">
        <v>10</v>
      </c>
    </row>
    <row r="13" spans="1:118" x14ac:dyDescent="0.25">
      <c r="B13" s="7" t="s">
        <v>10</v>
      </c>
      <c r="C13" s="2">
        <f t="shared" si="13"/>
        <v>6</v>
      </c>
      <c r="D13" s="1">
        <f t="shared" si="14"/>
        <v>375</v>
      </c>
      <c r="E13" s="1">
        <f t="shared" si="14"/>
        <v>375</v>
      </c>
      <c r="F13" s="1">
        <f t="shared" si="14"/>
        <v>375</v>
      </c>
      <c r="G13" s="1">
        <f t="shared" si="14"/>
        <v>375</v>
      </c>
      <c r="H13" s="1">
        <f t="shared" si="14"/>
        <v>375</v>
      </c>
      <c r="I13" s="1">
        <f t="shared" si="14"/>
        <v>375</v>
      </c>
      <c r="J13" s="1">
        <f t="shared" si="14"/>
        <v>375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</row>
    <row r="14" spans="1:118" x14ac:dyDescent="0.25">
      <c r="B14" s="7" t="s">
        <v>11</v>
      </c>
      <c r="C14" s="2">
        <f t="shared" si="13"/>
        <v>7</v>
      </c>
      <c r="D14" s="1">
        <f t="shared" si="14"/>
        <v>375</v>
      </c>
      <c r="E14" s="1">
        <f t="shared" si="14"/>
        <v>375</v>
      </c>
      <c r="F14" s="1">
        <f t="shared" si="14"/>
        <v>375</v>
      </c>
      <c r="G14" s="1">
        <f t="shared" si="14"/>
        <v>375</v>
      </c>
      <c r="H14" s="1">
        <f t="shared" si="14"/>
        <v>375</v>
      </c>
      <c r="I14" s="1">
        <f t="shared" si="14"/>
        <v>375</v>
      </c>
      <c r="J14" s="1">
        <f t="shared" si="14"/>
        <v>375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</row>
    <row r="15" spans="1:118" x14ac:dyDescent="0.25">
      <c r="B15" s="7" t="s">
        <v>11</v>
      </c>
      <c r="C15" s="2">
        <f t="shared" si="13"/>
        <v>8</v>
      </c>
      <c r="D15" s="1">
        <f t="shared" si="14"/>
        <v>375</v>
      </c>
      <c r="E15" s="1">
        <f t="shared" si="14"/>
        <v>375</v>
      </c>
      <c r="F15" s="1">
        <f t="shared" si="14"/>
        <v>375</v>
      </c>
      <c r="G15" s="1">
        <f t="shared" si="14"/>
        <v>375</v>
      </c>
      <c r="H15" s="1">
        <f t="shared" si="14"/>
        <v>375</v>
      </c>
      <c r="I15" s="1">
        <f t="shared" si="14"/>
        <v>375</v>
      </c>
      <c r="J15" s="1">
        <f t="shared" si="14"/>
        <v>375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</row>
    <row r="16" spans="1:118" x14ac:dyDescent="0.25">
      <c r="A16">
        <v>30</v>
      </c>
      <c r="B16" s="7" t="s">
        <v>12</v>
      </c>
      <c r="C16" s="2">
        <f t="shared" si="13"/>
        <v>9</v>
      </c>
      <c r="D16" s="1">
        <v>395</v>
      </c>
      <c r="E16" s="1">
        <v>395</v>
      </c>
      <c r="F16" s="1">
        <v>395</v>
      </c>
      <c r="G16" s="1">
        <v>395</v>
      </c>
      <c r="H16" s="1">
        <v>395</v>
      </c>
      <c r="I16" s="1">
        <v>395</v>
      </c>
      <c r="J16" s="1">
        <v>395</v>
      </c>
      <c r="L16" s="3">
        <v>0.65</v>
      </c>
      <c r="M16" s="3"/>
      <c r="N16" s="3">
        <v>0.6</v>
      </c>
      <c r="O16" s="3"/>
      <c r="P16" s="3"/>
      <c r="Q16" s="3">
        <v>0.65</v>
      </c>
      <c r="R16" s="3"/>
      <c r="S16" s="3">
        <v>0.75</v>
      </c>
      <c r="T16" s="3"/>
      <c r="U16" s="3">
        <v>0.7</v>
      </c>
      <c r="V16" s="3"/>
      <c r="W16" s="3"/>
      <c r="X16" s="3">
        <v>0.7</v>
      </c>
      <c r="Y16" s="3"/>
      <c r="Z16" s="3">
        <v>0.85</v>
      </c>
      <c r="AA16" s="3"/>
      <c r="AB16" s="3">
        <v>0.8</v>
      </c>
      <c r="AC16" s="3"/>
      <c r="AD16" s="3"/>
      <c r="AE16" s="3">
        <v>0.8</v>
      </c>
      <c r="AF16" s="3"/>
      <c r="AG16" s="3">
        <v>0.85</v>
      </c>
      <c r="AH16" s="3"/>
      <c r="AI16" s="3">
        <v>0.9</v>
      </c>
      <c r="AJ16" s="3"/>
      <c r="AK16" s="3"/>
      <c r="AL16" s="3"/>
      <c r="AM16" s="3"/>
      <c r="AN16" s="3"/>
      <c r="AO16" s="3"/>
      <c r="AP16" s="3">
        <v>0.85</v>
      </c>
      <c r="AQ16" s="3"/>
      <c r="AR16" s="3"/>
      <c r="AS16" s="3"/>
      <c r="AT16" s="3"/>
      <c r="AU16" s="3"/>
      <c r="AV16">
        <v>3</v>
      </c>
      <c r="AX16">
        <v>3</v>
      </c>
      <c r="BA16">
        <v>4</v>
      </c>
      <c r="BC16">
        <v>4</v>
      </c>
      <c r="BE16">
        <v>3</v>
      </c>
      <c r="BH16">
        <v>4</v>
      </c>
      <c r="BJ16">
        <v>4</v>
      </c>
      <c r="BL16">
        <v>4</v>
      </c>
      <c r="BO16">
        <v>4</v>
      </c>
      <c r="BQ16">
        <v>5</v>
      </c>
      <c r="BS16">
        <v>3</v>
      </c>
      <c r="BZ16">
        <v>5</v>
      </c>
      <c r="CF16">
        <v>1</v>
      </c>
      <c r="CH16">
        <v>1</v>
      </c>
      <c r="CK16">
        <v>1</v>
      </c>
      <c r="CM16">
        <v>1</v>
      </c>
      <c r="CO16">
        <v>1</v>
      </c>
      <c r="CR16">
        <v>1</v>
      </c>
      <c r="CT16">
        <v>3</v>
      </c>
      <c r="CV16">
        <v>1</v>
      </c>
      <c r="CY16">
        <v>5</v>
      </c>
      <c r="DA16">
        <v>1</v>
      </c>
      <c r="DC16">
        <v>1</v>
      </c>
      <c r="DJ16">
        <v>2</v>
      </c>
    </row>
    <row r="17" spans="2:114" x14ac:dyDescent="0.25">
      <c r="B17" s="7" t="s">
        <v>12</v>
      </c>
      <c r="C17" s="2">
        <f t="shared" si="13"/>
        <v>10</v>
      </c>
      <c r="D17" s="1">
        <v>395</v>
      </c>
      <c r="E17" s="1">
        <v>395</v>
      </c>
      <c r="F17" s="1">
        <v>395</v>
      </c>
      <c r="G17" s="1">
        <v>395</v>
      </c>
      <c r="H17" s="1">
        <v>395</v>
      </c>
      <c r="I17" s="1">
        <v>395</v>
      </c>
      <c r="J17" s="1">
        <v>395</v>
      </c>
      <c r="L17" s="3">
        <v>0.6</v>
      </c>
      <c r="M17" s="3"/>
      <c r="N17" s="3">
        <v>0.65</v>
      </c>
      <c r="O17" s="3"/>
      <c r="P17" s="3"/>
      <c r="Q17" s="3">
        <v>0.65</v>
      </c>
      <c r="R17" s="3"/>
      <c r="S17" s="3">
        <v>0.7</v>
      </c>
      <c r="T17" s="3"/>
      <c r="U17" s="3">
        <v>0.75</v>
      </c>
      <c r="V17" s="3"/>
      <c r="W17" s="3"/>
      <c r="X17" s="3">
        <v>0.75</v>
      </c>
      <c r="Y17" s="3"/>
      <c r="Z17" s="3">
        <v>0.8</v>
      </c>
      <c r="AA17" s="3"/>
      <c r="AB17" s="3">
        <v>0.85</v>
      </c>
      <c r="AC17" s="3"/>
      <c r="AD17" s="3"/>
      <c r="AE17" s="3">
        <v>0.85</v>
      </c>
      <c r="AF17" s="3"/>
      <c r="AG17" s="3">
        <v>0.9</v>
      </c>
      <c r="AH17" s="3"/>
      <c r="AI17" s="3">
        <v>0.9</v>
      </c>
      <c r="AJ17" s="3"/>
      <c r="AK17" s="3"/>
      <c r="AL17" s="3">
        <v>0.9</v>
      </c>
      <c r="AM17" s="3"/>
      <c r="AN17" s="3">
        <v>0.9</v>
      </c>
      <c r="AO17" s="3"/>
      <c r="AP17" s="3">
        <v>0.95</v>
      </c>
      <c r="AQ17" s="3"/>
      <c r="AR17" s="3"/>
      <c r="AS17" s="3"/>
      <c r="AT17" s="3"/>
      <c r="AU17" s="3"/>
      <c r="AV17">
        <v>4</v>
      </c>
      <c r="AX17">
        <v>3</v>
      </c>
      <c r="BA17">
        <v>3</v>
      </c>
      <c r="BC17">
        <v>4</v>
      </c>
      <c r="BE17">
        <v>3</v>
      </c>
      <c r="BH17">
        <v>3</v>
      </c>
      <c r="BJ17">
        <v>4</v>
      </c>
      <c r="BL17">
        <v>3</v>
      </c>
      <c r="BO17">
        <v>4</v>
      </c>
      <c r="BQ17">
        <v>3</v>
      </c>
      <c r="BS17">
        <v>3</v>
      </c>
      <c r="BV17">
        <v>5</v>
      </c>
      <c r="BX17">
        <v>4</v>
      </c>
      <c r="BZ17">
        <v>3</v>
      </c>
      <c r="CF17">
        <v>1</v>
      </c>
      <c r="CH17">
        <v>1</v>
      </c>
      <c r="CK17">
        <v>1</v>
      </c>
      <c r="CM17">
        <v>1</v>
      </c>
      <c r="CO17">
        <v>1</v>
      </c>
      <c r="CR17">
        <v>1</v>
      </c>
      <c r="CT17">
        <v>1</v>
      </c>
      <c r="CV17">
        <v>1</v>
      </c>
      <c r="CY17">
        <v>1</v>
      </c>
      <c r="DA17">
        <v>1</v>
      </c>
      <c r="DC17">
        <v>3</v>
      </c>
      <c r="DF17">
        <v>4</v>
      </c>
      <c r="DH17">
        <v>2</v>
      </c>
      <c r="DJ17">
        <v>1</v>
      </c>
    </row>
    <row r="18" spans="2:114" x14ac:dyDescent="0.25">
      <c r="B18" s="7" t="s">
        <v>12</v>
      </c>
      <c r="C18" s="2">
        <f t="shared" si="13"/>
        <v>11</v>
      </c>
      <c r="D18" s="1">
        <v>395</v>
      </c>
      <c r="E18" s="1">
        <v>395</v>
      </c>
      <c r="F18" s="1">
        <v>395</v>
      </c>
      <c r="G18" s="1">
        <v>395</v>
      </c>
      <c r="H18" s="1">
        <v>395</v>
      </c>
      <c r="I18" s="1">
        <v>395</v>
      </c>
      <c r="J18" s="1">
        <v>395</v>
      </c>
      <c r="L18" s="3">
        <v>0.6</v>
      </c>
      <c r="M18" s="3"/>
      <c r="N18" s="3">
        <v>0.6</v>
      </c>
      <c r="O18" s="3"/>
      <c r="P18" s="3"/>
      <c r="Q18" s="3">
        <v>0.65</v>
      </c>
      <c r="R18" s="3"/>
      <c r="S18" s="3">
        <v>0.7</v>
      </c>
      <c r="T18" s="3"/>
      <c r="U18" s="3">
        <v>0.7</v>
      </c>
      <c r="V18" s="3"/>
      <c r="W18" s="3"/>
      <c r="X18" s="3">
        <v>0.75</v>
      </c>
      <c r="Y18" s="3"/>
      <c r="Z18" s="3">
        <v>0.8</v>
      </c>
      <c r="AA18" s="3"/>
      <c r="AB18" s="3">
        <v>0.8</v>
      </c>
      <c r="AC18" s="3"/>
      <c r="AD18" s="3"/>
      <c r="AE18" s="3">
        <v>0.85</v>
      </c>
      <c r="AF18" s="3"/>
      <c r="AG18" s="3">
        <v>0.9</v>
      </c>
      <c r="AH18" s="3"/>
      <c r="AI18" s="3">
        <v>0.95</v>
      </c>
      <c r="AJ18" s="3"/>
      <c r="AK18" s="3"/>
      <c r="AL18" s="3">
        <v>0.95</v>
      </c>
      <c r="AM18" s="3"/>
      <c r="AN18" s="3"/>
      <c r="AO18" s="3"/>
      <c r="AP18" s="3"/>
      <c r="AQ18" s="3"/>
      <c r="AR18" s="3"/>
      <c r="AS18" s="3"/>
      <c r="AT18" s="3"/>
      <c r="AU18" s="3"/>
      <c r="AV18">
        <v>3</v>
      </c>
      <c r="AX18">
        <v>3</v>
      </c>
      <c r="BA18">
        <v>3</v>
      </c>
      <c r="BC18">
        <v>3</v>
      </c>
      <c r="BE18">
        <v>3</v>
      </c>
      <c r="BH18">
        <v>3</v>
      </c>
      <c r="BJ18">
        <v>3</v>
      </c>
      <c r="BL18">
        <v>3</v>
      </c>
      <c r="BO18">
        <v>3</v>
      </c>
      <c r="BQ18">
        <v>5</v>
      </c>
      <c r="BS18">
        <v>3</v>
      </c>
      <c r="BV18">
        <v>3</v>
      </c>
      <c r="CF18">
        <v>1</v>
      </c>
      <c r="CH18">
        <v>1</v>
      </c>
      <c r="CK18">
        <v>1</v>
      </c>
      <c r="CM18">
        <v>1</v>
      </c>
      <c r="CO18">
        <v>1</v>
      </c>
      <c r="CR18">
        <v>1</v>
      </c>
      <c r="CT18">
        <v>1</v>
      </c>
      <c r="CV18">
        <v>1</v>
      </c>
      <c r="CY18">
        <v>1</v>
      </c>
      <c r="DA18">
        <v>5</v>
      </c>
      <c r="DC18">
        <v>2</v>
      </c>
      <c r="DF18">
        <v>4</v>
      </c>
    </row>
    <row r="19" spans="2:114" x14ac:dyDescent="0.25">
      <c r="B19" s="7" t="s">
        <v>12</v>
      </c>
      <c r="C19" s="2">
        <f t="shared" si="13"/>
        <v>12</v>
      </c>
      <c r="D19" s="1">
        <v>395</v>
      </c>
      <c r="E19" s="1">
        <v>395</v>
      </c>
      <c r="F19" s="1">
        <v>395</v>
      </c>
      <c r="G19" s="1">
        <v>395</v>
      </c>
      <c r="H19" s="1">
        <v>395</v>
      </c>
      <c r="I19" s="1">
        <v>395</v>
      </c>
      <c r="J19" s="1">
        <v>395</v>
      </c>
      <c r="L19" s="3">
        <v>0.7</v>
      </c>
      <c r="M19" s="3"/>
      <c r="N19" s="3">
        <v>0.7</v>
      </c>
      <c r="O19" s="3"/>
      <c r="P19" s="3"/>
      <c r="Q19" s="3">
        <v>0.75</v>
      </c>
      <c r="R19" s="3"/>
      <c r="S19" s="3">
        <v>0.8</v>
      </c>
      <c r="T19" s="3"/>
      <c r="U19" s="3">
        <v>0.8</v>
      </c>
      <c r="V19" s="3"/>
      <c r="W19" s="3"/>
      <c r="X19" s="3">
        <v>0.9</v>
      </c>
      <c r="Y19" s="3"/>
      <c r="Z19" s="3">
        <v>0.9</v>
      </c>
      <c r="AA19" s="3"/>
      <c r="AB19" s="3">
        <v>0.95</v>
      </c>
      <c r="AC19" s="3"/>
      <c r="AD19" s="3"/>
      <c r="AE19" s="3">
        <v>0.95</v>
      </c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>
        <v>3</v>
      </c>
      <c r="AX19">
        <v>3</v>
      </c>
      <c r="BA19">
        <v>3</v>
      </c>
      <c r="BC19">
        <v>3</v>
      </c>
      <c r="BE19">
        <v>3</v>
      </c>
      <c r="BH19">
        <v>4</v>
      </c>
      <c r="BJ19">
        <v>5</v>
      </c>
      <c r="BL19">
        <v>3</v>
      </c>
      <c r="BO19">
        <v>4</v>
      </c>
      <c r="CF19">
        <v>1</v>
      </c>
      <c r="CH19">
        <v>1</v>
      </c>
      <c r="CK19">
        <v>1</v>
      </c>
      <c r="CM19">
        <v>1</v>
      </c>
      <c r="CO19">
        <v>1</v>
      </c>
      <c r="CR19">
        <v>1</v>
      </c>
      <c r="CT19">
        <v>5</v>
      </c>
      <c r="CV19">
        <v>4</v>
      </c>
      <c r="CY19">
        <v>3</v>
      </c>
      <c r="DF19">
        <v>3</v>
      </c>
    </row>
    <row r="20" spans="2:114" x14ac:dyDescent="0.25">
      <c r="B20" s="7" t="s">
        <v>13</v>
      </c>
      <c r="C20" s="2">
        <f t="shared" si="13"/>
        <v>13</v>
      </c>
      <c r="D20" s="1">
        <v>395</v>
      </c>
      <c r="E20" s="1">
        <v>395</v>
      </c>
      <c r="F20" s="1">
        <v>395</v>
      </c>
      <c r="G20" s="1">
        <v>395</v>
      </c>
      <c r="H20" s="1">
        <v>395</v>
      </c>
      <c r="I20" s="1">
        <v>395</v>
      </c>
      <c r="J20" s="1">
        <v>395</v>
      </c>
      <c r="L20" s="3">
        <v>0.7</v>
      </c>
      <c r="M20" s="3"/>
      <c r="N20" s="3">
        <v>0.75</v>
      </c>
      <c r="O20" s="3"/>
      <c r="P20" s="3"/>
      <c r="Q20" s="3"/>
      <c r="R20" s="3"/>
      <c r="S20" s="3">
        <v>0.8</v>
      </c>
      <c r="T20" s="3"/>
      <c r="U20" s="3">
        <v>0.85</v>
      </c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>
        <v>3</v>
      </c>
      <c r="AX20">
        <v>4</v>
      </c>
      <c r="BC20">
        <v>3</v>
      </c>
      <c r="BE20">
        <v>4</v>
      </c>
      <c r="BJ20">
        <v>5</v>
      </c>
      <c r="BQ20">
        <v>4</v>
      </c>
      <c r="CF20">
        <v>1</v>
      </c>
      <c r="CH20">
        <v>1</v>
      </c>
      <c r="CM20">
        <v>1</v>
      </c>
      <c r="CO20">
        <v>4</v>
      </c>
      <c r="CT20">
        <v>2</v>
      </c>
      <c r="DA20">
        <v>3</v>
      </c>
    </row>
    <row r="21" spans="2:114" x14ac:dyDescent="0.25">
      <c r="B21" s="7"/>
      <c r="C21" s="2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</row>
    <row r="22" spans="2:114" outlineLevel="1" x14ac:dyDescent="0.25">
      <c r="B22" s="7"/>
      <c r="C22" s="4" t="s">
        <v>7</v>
      </c>
      <c r="D22" s="4" t="s">
        <v>0</v>
      </c>
      <c r="E22" s="4" t="s">
        <v>1</v>
      </c>
      <c r="F22" s="4" t="s">
        <v>2</v>
      </c>
      <c r="G22" s="4" t="s">
        <v>3</v>
      </c>
      <c r="H22" s="4" t="s">
        <v>4</v>
      </c>
      <c r="I22" s="4" t="s">
        <v>5</v>
      </c>
      <c r="J22" s="4" t="s">
        <v>6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</row>
    <row r="23" spans="2:114" outlineLevel="1" x14ac:dyDescent="0.25">
      <c r="B23" s="16" t="s">
        <v>23</v>
      </c>
      <c r="C23" s="2">
        <v>1</v>
      </c>
      <c r="D23" s="15">
        <f>B3</f>
        <v>43948</v>
      </c>
      <c r="E23" s="15">
        <f>D23+1</f>
        <v>43949</v>
      </c>
      <c r="F23" s="15">
        <f t="shared" ref="F23:J23" si="15">E23+1</f>
        <v>43950</v>
      </c>
      <c r="G23" s="15">
        <f t="shared" si="15"/>
        <v>43951</v>
      </c>
      <c r="H23" s="15">
        <f t="shared" si="15"/>
        <v>43952</v>
      </c>
      <c r="I23" s="15">
        <f t="shared" si="15"/>
        <v>43953</v>
      </c>
      <c r="J23" s="15">
        <f t="shared" si="15"/>
        <v>43954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</row>
    <row r="24" spans="2:114" outlineLevel="1" x14ac:dyDescent="0.25">
      <c r="B24" s="7"/>
      <c r="C24" s="2">
        <f>C23+1</f>
        <v>2</v>
      </c>
      <c r="D24" s="15">
        <f>J23+1</f>
        <v>43955</v>
      </c>
      <c r="E24" s="15">
        <f t="shared" ref="E24:J35" si="16">D24+1</f>
        <v>43956</v>
      </c>
      <c r="F24" s="15">
        <f t="shared" si="16"/>
        <v>43957</v>
      </c>
      <c r="G24" s="15">
        <f t="shared" si="16"/>
        <v>43958</v>
      </c>
      <c r="H24" s="15">
        <f t="shared" si="16"/>
        <v>43959</v>
      </c>
      <c r="I24" s="15">
        <f t="shared" si="16"/>
        <v>43960</v>
      </c>
      <c r="J24" s="15">
        <f t="shared" si="16"/>
        <v>43961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</row>
    <row r="25" spans="2:114" outlineLevel="1" x14ac:dyDescent="0.25">
      <c r="B25" s="7"/>
      <c r="C25" s="2">
        <f t="shared" ref="C25:C35" si="17">C24+1</f>
        <v>3</v>
      </c>
      <c r="D25" s="15">
        <f t="shared" ref="D25:D35" si="18">J24+1</f>
        <v>43962</v>
      </c>
      <c r="E25" s="15">
        <f t="shared" si="16"/>
        <v>43963</v>
      </c>
      <c r="F25" s="15">
        <f t="shared" si="16"/>
        <v>43964</v>
      </c>
      <c r="G25" s="15">
        <f t="shared" si="16"/>
        <v>43965</v>
      </c>
      <c r="H25" s="15">
        <f t="shared" si="16"/>
        <v>43966</v>
      </c>
      <c r="I25" s="15">
        <f t="shared" si="16"/>
        <v>43967</v>
      </c>
      <c r="J25" s="15">
        <f t="shared" si="16"/>
        <v>43968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</row>
    <row r="26" spans="2:114" outlineLevel="1" x14ac:dyDescent="0.25">
      <c r="B26" s="7"/>
      <c r="C26" s="2">
        <f t="shared" si="17"/>
        <v>4</v>
      </c>
      <c r="D26" s="15">
        <f t="shared" si="18"/>
        <v>43969</v>
      </c>
      <c r="E26" s="15">
        <f t="shared" si="16"/>
        <v>43970</v>
      </c>
      <c r="F26" s="15">
        <f t="shared" si="16"/>
        <v>43971</v>
      </c>
      <c r="G26" s="15">
        <f t="shared" si="16"/>
        <v>43972</v>
      </c>
      <c r="H26" s="15">
        <f t="shared" si="16"/>
        <v>43973</v>
      </c>
      <c r="I26" s="15">
        <f t="shared" si="16"/>
        <v>43974</v>
      </c>
      <c r="J26" s="15">
        <f t="shared" si="16"/>
        <v>43975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</row>
    <row r="27" spans="2:114" outlineLevel="1" x14ac:dyDescent="0.25">
      <c r="B27" s="7"/>
      <c r="C27" s="2">
        <f t="shared" si="17"/>
        <v>5</v>
      </c>
      <c r="D27" s="15">
        <f t="shared" si="18"/>
        <v>43976</v>
      </c>
      <c r="E27" s="15">
        <f t="shared" si="16"/>
        <v>43977</v>
      </c>
      <c r="F27" s="15">
        <f t="shared" si="16"/>
        <v>43978</v>
      </c>
      <c r="G27" s="15">
        <f t="shared" si="16"/>
        <v>43979</v>
      </c>
      <c r="H27" s="15">
        <f t="shared" si="16"/>
        <v>43980</v>
      </c>
      <c r="I27" s="15">
        <f t="shared" si="16"/>
        <v>43981</v>
      </c>
      <c r="J27" s="15">
        <f t="shared" si="16"/>
        <v>43982</v>
      </c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</row>
    <row r="28" spans="2:114" outlineLevel="1" x14ac:dyDescent="0.25">
      <c r="B28" s="7"/>
      <c r="C28" s="2">
        <f t="shared" si="17"/>
        <v>6</v>
      </c>
      <c r="D28" s="15">
        <f t="shared" si="18"/>
        <v>43983</v>
      </c>
      <c r="E28" s="15">
        <f t="shared" si="16"/>
        <v>43984</v>
      </c>
      <c r="F28" s="15">
        <f t="shared" si="16"/>
        <v>43985</v>
      </c>
      <c r="G28" s="15">
        <f t="shared" si="16"/>
        <v>43986</v>
      </c>
      <c r="H28" s="15">
        <f t="shared" si="16"/>
        <v>43987</v>
      </c>
      <c r="I28" s="15">
        <f t="shared" si="16"/>
        <v>43988</v>
      </c>
      <c r="J28" s="15">
        <f t="shared" si="16"/>
        <v>43989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</row>
    <row r="29" spans="2:114" outlineLevel="1" x14ac:dyDescent="0.25">
      <c r="B29" s="7"/>
      <c r="C29" s="2">
        <f t="shared" si="17"/>
        <v>7</v>
      </c>
      <c r="D29" s="15">
        <f t="shared" si="18"/>
        <v>43990</v>
      </c>
      <c r="E29" s="15">
        <f t="shared" si="16"/>
        <v>43991</v>
      </c>
      <c r="F29" s="15">
        <f t="shared" si="16"/>
        <v>43992</v>
      </c>
      <c r="G29" s="15">
        <f t="shared" si="16"/>
        <v>43993</v>
      </c>
      <c r="H29" s="15">
        <f t="shared" si="16"/>
        <v>43994</v>
      </c>
      <c r="I29" s="15">
        <f t="shared" si="16"/>
        <v>43995</v>
      </c>
      <c r="J29" s="15">
        <f t="shared" si="16"/>
        <v>43996</v>
      </c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</row>
    <row r="30" spans="2:114" outlineLevel="1" x14ac:dyDescent="0.25">
      <c r="B30" s="7"/>
      <c r="C30" s="2">
        <f t="shared" si="17"/>
        <v>8</v>
      </c>
      <c r="D30" s="15">
        <f t="shared" si="18"/>
        <v>43997</v>
      </c>
      <c r="E30" s="15">
        <f t="shared" si="16"/>
        <v>43998</v>
      </c>
      <c r="F30" s="15">
        <f t="shared" si="16"/>
        <v>43999</v>
      </c>
      <c r="G30" s="15">
        <f t="shared" si="16"/>
        <v>44000</v>
      </c>
      <c r="H30" s="15">
        <f t="shared" si="16"/>
        <v>44001</v>
      </c>
      <c r="I30" s="15">
        <f t="shared" si="16"/>
        <v>44002</v>
      </c>
      <c r="J30" s="15">
        <f t="shared" si="16"/>
        <v>44003</v>
      </c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</row>
    <row r="31" spans="2:114" outlineLevel="1" x14ac:dyDescent="0.25">
      <c r="B31" s="7"/>
      <c r="C31" s="2">
        <f t="shared" si="17"/>
        <v>9</v>
      </c>
      <c r="D31" s="15">
        <f t="shared" si="18"/>
        <v>44004</v>
      </c>
      <c r="E31" s="15">
        <f t="shared" si="16"/>
        <v>44005</v>
      </c>
      <c r="F31" s="15">
        <f t="shared" si="16"/>
        <v>44006</v>
      </c>
      <c r="G31" s="15">
        <f t="shared" si="16"/>
        <v>44007</v>
      </c>
      <c r="H31" s="15">
        <f t="shared" si="16"/>
        <v>44008</v>
      </c>
      <c r="I31" s="15">
        <f t="shared" si="16"/>
        <v>44009</v>
      </c>
      <c r="J31" s="15">
        <f t="shared" si="16"/>
        <v>44010</v>
      </c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</row>
    <row r="32" spans="2:114" outlineLevel="1" x14ac:dyDescent="0.25">
      <c r="B32" s="7"/>
      <c r="C32" s="2">
        <f t="shared" si="17"/>
        <v>10</v>
      </c>
      <c r="D32" s="15">
        <f t="shared" si="18"/>
        <v>44011</v>
      </c>
      <c r="E32" s="15">
        <f t="shared" si="16"/>
        <v>44012</v>
      </c>
      <c r="F32" s="15">
        <f t="shared" si="16"/>
        <v>44013</v>
      </c>
      <c r="G32" s="15">
        <f t="shared" si="16"/>
        <v>44014</v>
      </c>
      <c r="H32" s="15">
        <f t="shared" si="16"/>
        <v>44015</v>
      </c>
      <c r="I32" s="15">
        <f t="shared" si="16"/>
        <v>44016</v>
      </c>
      <c r="J32" s="15">
        <f t="shared" si="16"/>
        <v>44017</v>
      </c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</row>
    <row r="33" spans="2:47" outlineLevel="1" x14ac:dyDescent="0.25">
      <c r="B33" s="7"/>
      <c r="C33" s="2">
        <f t="shared" si="17"/>
        <v>11</v>
      </c>
      <c r="D33" s="15">
        <f t="shared" si="18"/>
        <v>44018</v>
      </c>
      <c r="E33" s="15">
        <f t="shared" si="16"/>
        <v>44019</v>
      </c>
      <c r="F33" s="15">
        <f t="shared" si="16"/>
        <v>44020</v>
      </c>
      <c r="G33" s="15">
        <f t="shared" si="16"/>
        <v>44021</v>
      </c>
      <c r="H33" s="15">
        <f t="shared" si="16"/>
        <v>44022</v>
      </c>
      <c r="I33" s="15">
        <f t="shared" si="16"/>
        <v>44023</v>
      </c>
      <c r="J33" s="15">
        <f t="shared" si="16"/>
        <v>44024</v>
      </c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</row>
    <row r="34" spans="2:47" outlineLevel="1" x14ac:dyDescent="0.25">
      <c r="B34" s="7"/>
      <c r="C34" s="2">
        <f t="shared" si="17"/>
        <v>12</v>
      </c>
      <c r="D34" s="17">
        <f t="shared" si="18"/>
        <v>44025</v>
      </c>
      <c r="E34" s="17">
        <f t="shared" si="16"/>
        <v>44026</v>
      </c>
      <c r="F34" s="17">
        <f t="shared" si="16"/>
        <v>44027</v>
      </c>
      <c r="G34" s="17">
        <f t="shared" si="16"/>
        <v>44028</v>
      </c>
      <c r="H34" s="17">
        <f t="shared" si="16"/>
        <v>44029</v>
      </c>
      <c r="I34" s="15">
        <f t="shared" si="16"/>
        <v>44030</v>
      </c>
      <c r="J34" s="15">
        <f t="shared" si="16"/>
        <v>44031</v>
      </c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</row>
    <row r="35" spans="2:47" outlineLevel="1" x14ac:dyDescent="0.25">
      <c r="B35" s="7"/>
      <c r="C35" s="2">
        <f t="shared" si="17"/>
        <v>13</v>
      </c>
      <c r="D35" s="15">
        <f t="shared" si="18"/>
        <v>44032</v>
      </c>
      <c r="E35" s="15">
        <f t="shared" si="16"/>
        <v>44033</v>
      </c>
      <c r="F35" s="15">
        <f t="shared" si="16"/>
        <v>44034</v>
      </c>
      <c r="G35" s="15">
        <f t="shared" si="16"/>
        <v>44035</v>
      </c>
      <c r="H35" s="15">
        <f t="shared" si="16"/>
        <v>44036</v>
      </c>
      <c r="I35" s="15">
        <f t="shared" si="16"/>
        <v>44037</v>
      </c>
      <c r="J35" s="15">
        <f t="shared" si="16"/>
        <v>44038</v>
      </c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</row>
    <row r="36" spans="2:47" x14ac:dyDescent="0.25">
      <c r="C36" s="2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</row>
    <row r="37" spans="2:47" hidden="1" outlineLevel="1" x14ac:dyDescent="0.25">
      <c r="C37" s="2">
        <f t="shared" ref="C37:C49" si="19">C8</f>
        <v>1</v>
      </c>
      <c r="D37">
        <f t="shared" ref="D37:D49" si="20">COUNTA(L8,S8,Z8,AG8,AN8)</f>
        <v>4</v>
      </c>
      <c r="E37">
        <f t="shared" ref="E37:J37" si="21">COUNTA(M8,T8,AA8,AH8,AO8)</f>
        <v>4</v>
      </c>
      <c r="F37">
        <f t="shared" si="21"/>
        <v>4</v>
      </c>
      <c r="G37">
        <f t="shared" si="21"/>
        <v>0</v>
      </c>
      <c r="H37">
        <f t="shared" si="21"/>
        <v>0</v>
      </c>
      <c r="I37">
        <f t="shared" si="21"/>
        <v>0</v>
      </c>
      <c r="J37">
        <f t="shared" si="21"/>
        <v>0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</row>
    <row r="38" spans="2:47" hidden="1" outlineLevel="1" x14ac:dyDescent="0.25">
      <c r="C38" s="2">
        <f t="shared" si="19"/>
        <v>2</v>
      </c>
      <c r="D38">
        <f t="shared" si="20"/>
        <v>1</v>
      </c>
      <c r="E38">
        <f t="shared" ref="E38:E49" si="22">COUNTA(M9,T9,AA9,AH9,AO9)</f>
        <v>0</v>
      </c>
      <c r="F38">
        <f t="shared" ref="F38:F49" si="23">COUNTA(N9,U9,AB9,AI9,AP9)</f>
        <v>1</v>
      </c>
      <c r="G38">
        <f t="shared" ref="G38:G49" si="24">COUNTA(O9,V9,AC9,AJ9,AQ9)</f>
        <v>0</v>
      </c>
      <c r="H38">
        <f t="shared" ref="H38:H49" si="25">COUNTA(P9,W9,AD9,AK9,AR9)</f>
        <v>1</v>
      </c>
      <c r="I38">
        <f t="shared" ref="I38:I49" si="26">COUNTA(Q9,X9,AE9,AL9,AS9)</f>
        <v>0</v>
      </c>
      <c r="J38">
        <f t="shared" ref="J38:J49" si="27">COUNTA(R9,Y9,AF9,AM9,AT9)</f>
        <v>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</row>
    <row r="39" spans="2:47" hidden="1" outlineLevel="1" x14ac:dyDescent="0.25">
      <c r="C39" s="2">
        <f t="shared" si="19"/>
        <v>3</v>
      </c>
      <c r="D39">
        <f t="shared" si="20"/>
        <v>1</v>
      </c>
      <c r="E39">
        <f t="shared" si="22"/>
        <v>0</v>
      </c>
      <c r="F39">
        <f t="shared" si="23"/>
        <v>1</v>
      </c>
      <c r="G39">
        <f t="shared" si="24"/>
        <v>0</v>
      </c>
      <c r="H39">
        <f t="shared" si="25"/>
        <v>1</v>
      </c>
      <c r="I39">
        <f t="shared" si="26"/>
        <v>1</v>
      </c>
      <c r="J39">
        <f t="shared" si="27"/>
        <v>0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</row>
    <row r="40" spans="2:47" hidden="1" outlineLevel="1" x14ac:dyDescent="0.25">
      <c r="C40" s="2">
        <f t="shared" si="19"/>
        <v>4</v>
      </c>
      <c r="D40">
        <f t="shared" si="20"/>
        <v>1</v>
      </c>
      <c r="E40">
        <f t="shared" si="22"/>
        <v>0</v>
      </c>
      <c r="F40">
        <f t="shared" si="23"/>
        <v>1</v>
      </c>
      <c r="G40">
        <f t="shared" si="24"/>
        <v>0</v>
      </c>
      <c r="H40">
        <f t="shared" si="25"/>
        <v>1</v>
      </c>
      <c r="I40">
        <f t="shared" si="26"/>
        <v>1</v>
      </c>
      <c r="J40">
        <f t="shared" si="27"/>
        <v>0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</row>
    <row r="41" spans="2:47" hidden="1" outlineLevel="1" x14ac:dyDescent="0.25">
      <c r="C41" s="2">
        <f t="shared" si="19"/>
        <v>5</v>
      </c>
      <c r="D41">
        <f t="shared" si="20"/>
        <v>1</v>
      </c>
      <c r="E41">
        <f t="shared" si="22"/>
        <v>0</v>
      </c>
      <c r="F41">
        <f t="shared" si="23"/>
        <v>1</v>
      </c>
      <c r="G41">
        <f t="shared" si="24"/>
        <v>0</v>
      </c>
      <c r="H41">
        <f t="shared" si="25"/>
        <v>1</v>
      </c>
      <c r="I41">
        <f t="shared" si="26"/>
        <v>1</v>
      </c>
      <c r="J41">
        <f t="shared" si="27"/>
        <v>0</v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</row>
    <row r="42" spans="2:47" hidden="1" outlineLevel="1" x14ac:dyDescent="0.25">
      <c r="C42" s="2">
        <f t="shared" si="19"/>
        <v>6</v>
      </c>
      <c r="D42">
        <f t="shared" si="20"/>
        <v>0</v>
      </c>
      <c r="E42">
        <f t="shared" si="22"/>
        <v>0</v>
      </c>
      <c r="F42">
        <f t="shared" si="23"/>
        <v>0</v>
      </c>
      <c r="G42">
        <f t="shared" si="24"/>
        <v>0</v>
      </c>
      <c r="H42">
        <f t="shared" si="25"/>
        <v>0</v>
      </c>
      <c r="I42">
        <f t="shared" si="26"/>
        <v>0</v>
      </c>
      <c r="J42">
        <f t="shared" si="27"/>
        <v>0</v>
      </c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</row>
    <row r="43" spans="2:47" hidden="1" outlineLevel="1" x14ac:dyDescent="0.25">
      <c r="C43" s="2">
        <f t="shared" si="19"/>
        <v>7</v>
      </c>
      <c r="D43">
        <f t="shared" si="20"/>
        <v>0</v>
      </c>
      <c r="E43">
        <f t="shared" si="22"/>
        <v>0</v>
      </c>
      <c r="F43">
        <f t="shared" si="23"/>
        <v>0</v>
      </c>
      <c r="G43">
        <f t="shared" si="24"/>
        <v>0</v>
      </c>
      <c r="H43">
        <f t="shared" si="25"/>
        <v>0</v>
      </c>
      <c r="I43">
        <f t="shared" si="26"/>
        <v>0</v>
      </c>
      <c r="J43">
        <f t="shared" si="27"/>
        <v>0</v>
      </c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</row>
    <row r="44" spans="2:47" hidden="1" outlineLevel="1" x14ac:dyDescent="0.25">
      <c r="C44" s="2">
        <f t="shared" si="19"/>
        <v>8</v>
      </c>
      <c r="D44">
        <f t="shared" si="20"/>
        <v>0</v>
      </c>
      <c r="E44">
        <f t="shared" si="22"/>
        <v>0</v>
      </c>
      <c r="F44">
        <f t="shared" si="23"/>
        <v>0</v>
      </c>
      <c r="G44">
        <f t="shared" si="24"/>
        <v>0</v>
      </c>
      <c r="H44">
        <f t="shared" si="25"/>
        <v>0</v>
      </c>
      <c r="I44">
        <f t="shared" si="26"/>
        <v>0</v>
      </c>
      <c r="J44">
        <f t="shared" si="27"/>
        <v>0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</row>
    <row r="45" spans="2:47" hidden="1" outlineLevel="1" x14ac:dyDescent="0.25">
      <c r="C45" s="2">
        <f t="shared" si="19"/>
        <v>9</v>
      </c>
      <c r="D45">
        <f t="shared" si="20"/>
        <v>4</v>
      </c>
      <c r="E45">
        <f t="shared" si="22"/>
        <v>0</v>
      </c>
      <c r="F45">
        <f t="shared" si="23"/>
        <v>5</v>
      </c>
      <c r="G45">
        <f t="shared" si="24"/>
        <v>0</v>
      </c>
      <c r="H45">
        <f t="shared" si="25"/>
        <v>0</v>
      </c>
      <c r="I45">
        <f t="shared" si="26"/>
        <v>3</v>
      </c>
      <c r="J45">
        <f t="shared" si="27"/>
        <v>0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</row>
    <row r="46" spans="2:47" hidden="1" outlineLevel="1" x14ac:dyDescent="0.25">
      <c r="C46" s="2">
        <f t="shared" si="19"/>
        <v>10</v>
      </c>
      <c r="D46">
        <f t="shared" si="20"/>
        <v>5</v>
      </c>
      <c r="E46">
        <f t="shared" si="22"/>
        <v>0</v>
      </c>
      <c r="F46">
        <f t="shared" si="23"/>
        <v>5</v>
      </c>
      <c r="G46">
        <f t="shared" si="24"/>
        <v>0</v>
      </c>
      <c r="H46">
        <f t="shared" si="25"/>
        <v>0</v>
      </c>
      <c r="I46">
        <f t="shared" si="26"/>
        <v>4</v>
      </c>
      <c r="J46">
        <f t="shared" si="27"/>
        <v>0</v>
      </c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</row>
    <row r="47" spans="2:47" hidden="1" outlineLevel="1" x14ac:dyDescent="0.25">
      <c r="C47" s="2">
        <f t="shared" si="19"/>
        <v>11</v>
      </c>
      <c r="D47">
        <f t="shared" si="20"/>
        <v>4</v>
      </c>
      <c r="E47">
        <f t="shared" si="22"/>
        <v>0</v>
      </c>
      <c r="F47">
        <f t="shared" si="23"/>
        <v>4</v>
      </c>
      <c r="G47">
        <f t="shared" si="24"/>
        <v>0</v>
      </c>
      <c r="H47">
        <f t="shared" si="25"/>
        <v>0</v>
      </c>
      <c r="I47">
        <f t="shared" si="26"/>
        <v>4</v>
      </c>
      <c r="J47">
        <f t="shared" si="27"/>
        <v>0</v>
      </c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</row>
    <row r="48" spans="2:47" hidden="1" outlineLevel="1" x14ac:dyDescent="0.25">
      <c r="C48" s="2">
        <f t="shared" si="19"/>
        <v>12</v>
      </c>
      <c r="D48">
        <f t="shared" si="20"/>
        <v>3</v>
      </c>
      <c r="E48">
        <f t="shared" si="22"/>
        <v>0</v>
      </c>
      <c r="F48">
        <f t="shared" si="23"/>
        <v>3</v>
      </c>
      <c r="G48">
        <f t="shared" si="24"/>
        <v>0</v>
      </c>
      <c r="H48">
        <f t="shared" si="25"/>
        <v>0</v>
      </c>
      <c r="I48">
        <f t="shared" si="26"/>
        <v>3</v>
      </c>
      <c r="J48">
        <f t="shared" si="27"/>
        <v>0</v>
      </c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</row>
    <row r="49" spans="2:47" hidden="1" outlineLevel="1" x14ac:dyDescent="0.25">
      <c r="C49" s="2">
        <f t="shared" si="19"/>
        <v>13</v>
      </c>
      <c r="D49">
        <f t="shared" si="20"/>
        <v>2</v>
      </c>
      <c r="E49">
        <f t="shared" si="22"/>
        <v>0</v>
      </c>
      <c r="F49">
        <f t="shared" si="23"/>
        <v>2</v>
      </c>
      <c r="G49">
        <f t="shared" si="24"/>
        <v>0</v>
      </c>
      <c r="H49">
        <f t="shared" si="25"/>
        <v>0</v>
      </c>
      <c r="I49">
        <f t="shared" si="26"/>
        <v>0</v>
      </c>
      <c r="J49">
        <f t="shared" si="27"/>
        <v>0</v>
      </c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</row>
    <row r="50" spans="2:47" collapsed="1" x14ac:dyDescent="0.25">
      <c r="C50" s="2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</row>
    <row r="51" spans="2:47" x14ac:dyDescent="0.25">
      <c r="D51" s="6" t="s">
        <v>24</v>
      </c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</row>
    <row r="52" spans="2:47" x14ac:dyDescent="0.25">
      <c r="B52" s="9" t="s">
        <v>8</v>
      </c>
      <c r="C52" s="9" t="s">
        <v>7</v>
      </c>
      <c r="D52" s="9" t="s">
        <v>0</v>
      </c>
      <c r="E52" s="9" t="s">
        <v>1</v>
      </c>
      <c r="F52" s="9" t="s">
        <v>2</v>
      </c>
      <c r="G52" s="9" t="s">
        <v>3</v>
      </c>
      <c r="H52" s="9" t="s">
        <v>4</v>
      </c>
      <c r="I52" s="9" t="s">
        <v>5</v>
      </c>
      <c r="J52" s="9" t="s">
        <v>6</v>
      </c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</row>
    <row r="53" spans="2:47" ht="60" x14ac:dyDescent="0.25">
      <c r="B53" s="14" t="s">
        <v>9</v>
      </c>
      <c r="C53" s="14">
        <f t="shared" ref="C53:C65" si="28">C8</f>
        <v>1</v>
      </c>
      <c r="D53" s="10" t="str">
        <f>IF(D37=0,
"",
IF(D37=1,
ROUND(D8*L8,0)&amp;"x"&amp;AV8&amp;"x"&amp;CF8,
IF(D37=2,
ROUND(D8*L8,0)&amp;"x"&amp;AV8&amp;"x"&amp;CF8&amp;CHAR(10)&amp;ROUND(D8*S8,0)&amp;"x"&amp;BC8&amp;"x"&amp;CM8,
IF(D37=3,
ROUND(D8*L8,0)&amp;"x"&amp;AV8&amp;"x"&amp;CF8&amp;CHAR(10)&amp;ROUND(D8*S8,0)&amp;"x"&amp;BC8&amp;"x"&amp;CM8&amp;CHAR(10)&amp;ROUND(D8*Z8,0)&amp;"x"&amp;BJ8&amp;"x"&amp;CT8,
IF(D37=4,
ROUND(D8*L8,0)&amp;"x"&amp;AV8&amp;"x"&amp;CF8&amp;CHAR(10)&amp;ROUND(D8*S8,0)&amp;"x"&amp;BC8&amp;"x"&amp;CM8&amp;CHAR(10)&amp;ROUND(D8*Z8,0)&amp;"x"&amp;BJ8&amp;"x"&amp;CT8&amp;CHAR(10)&amp;ROUND(D8*AG8,0)&amp;"x"&amp;BQ8&amp;"x"&amp;DA8,
ROUND(D8*L8,0)&amp;"x"&amp;AV8&amp;"x"&amp;CF8&amp;CHAR(10)&amp;ROUND(D8*S8,0)&amp;"x"&amp;BC8&amp;"x"&amp;CM8&amp;CHAR(10)&amp;ROUND(D8*Z8,0)&amp;"x"&amp;BJ8&amp;"x"&amp;CT8&amp;CHAR(10)&amp;ROUND(D8*AG8,0)&amp;"x"&amp;BQ8&amp;"x"&amp;DA8&amp;CHAR(10)&amp;ROUND(D8*AN8,0)&amp;"x"&amp;BX8&amp;"x"&amp;DH8
)))))</f>
        <v>231x8x3
249x5x1
266x2x2
284x1x1</v>
      </c>
      <c r="E53" s="10" t="str">
        <f t="shared" ref="E53:J53" si="29">IF(E37=0,
"",
IF(E37=1,
ROUND(E8*M8,0)&amp;"x"&amp;AW8&amp;"x"&amp;CG8,
IF(E37=2,
ROUND(E8*M8,0)&amp;"x"&amp;AW8&amp;"x"&amp;CG8&amp;CHAR(10)&amp;ROUND(E8*T8,0)&amp;"x"&amp;BD8&amp;"x"&amp;CN8,
IF(E37=3,
ROUND(E8*M8,0)&amp;"x"&amp;AW8&amp;"x"&amp;CG8&amp;CHAR(10)&amp;ROUND(E8*T8,0)&amp;"x"&amp;BD8&amp;"x"&amp;CN8&amp;CHAR(10)&amp;ROUND(E8*AA8,0)&amp;"x"&amp;BK8&amp;"x"&amp;CU8,
IF(E37=4,
ROUND(E8*M8,0)&amp;"x"&amp;AW8&amp;"x"&amp;CG8&amp;CHAR(10)&amp;ROUND(E8*T8,0)&amp;"x"&amp;BD8&amp;"x"&amp;CN8&amp;CHAR(10)&amp;ROUND(E8*AA8,0)&amp;"x"&amp;BK8&amp;"x"&amp;CU8&amp;CHAR(10)&amp;ROUND(E8*AH8,0)&amp;"x"&amp;BR8&amp;"x"&amp;DB8,
ROUND(E8*M8,0)&amp;"x"&amp;AW8&amp;"x"&amp;CG8&amp;CHAR(10)&amp;ROUND(E8*T8,0)&amp;"x"&amp;BD8&amp;"x"&amp;CN8&amp;CHAR(10)&amp;ROUND(E8*AA8,0)&amp;"x"&amp;BK8&amp;"x"&amp;CU8&amp;CHAR(10)&amp;ROUND(E8*AH8,0)&amp;"x"&amp;BR8&amp;"x"&amp;DB8&amp;CHAR(10)&amp;ROUND(E8*AO8,0)&amp;"x"&amp;BY8&amp;"x"&amp;DI8
)))))</f>
        <v>231x8x3
249x5x1
266x2x2
284x1x1</v>
      </c>
      <c r="F53" s="10" t="str">
        <f t="shared" si="29"/>
        <v>249x5x4
266x3x1
284x2x2
320x1x1</v>
      </c>
      <c r="G53" s="10" t="str">
        <f t="shared" si="29"/>
        <v/>
      </c>
      <c r="H53" s="10" t="str">
        <f t="shared" si="29"/>
        <v/>
      </c>
      <c r="I53" s="10" t="str">
        <f t="shared" si="29"/>
        <v/>
      </c>
      <c r="J53" s="10" t="str">
        <f t="shared" si="29"/>
        <v/>
      </c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</row>
    <row r="54" spans="2:47" x14ac:dyDescent="0.25">
      <c r="B54" s="14" t="s">
        <v>9</v>
      </c>
      <c r="C54" s="14">
        <f t="shared" si="28"/>
        <v>2</v>
      </c>
      <c r="D54" s="10" t="str">
        <f>IF(D38=0,
"",
IF(D38=1,
ROUND(D9*L9,0)&amp;"x"&amp;AV9&amp;"x"&amp;CF9,
IF(D38=2,
ROUND(D9*L9,0)&amp;"x"&amp;AV9&amp;"x"&amp;CF9&amp;CHAR(10)&amp;ROUND(D9*S9,0)&amp;"x"&amp;BC9&amp;"x"&amp;CM9,
IF(D38=3,
ROUND(D9*L9,0)&amp;"x"&amp;AV9&amp;"x"&amp;CF9&amp;CHAR(10)&amp;ROUND(D9*S9,0)&amp;"x"&amp;BC9&amp;"x"&amp;CM9&amp;CHAR(10)&amp;ROUND(D9*Z9,0)&amp;"x"&amp;BJ9&amp;"x"&amp;CT9,
IF(D38=4,
ROUND(D9*L9,0)&amp;"x"&amp;AV9&amp;"x"&amp;CF9&amp;CHAR(10)&amp;ROUND(D9*S9,0)&amp;"x"&amp;BC9&amp;"x"&amp;CM9&amp;CHAR(10)&amp;ROUND(D9*Z9,0)&amp;"x"&amp;BJ9&amp;"x"&amp;CT9&amp;CHAR(10)&amp;ROUND(D9*AG9,0)&amp;"x"&amp;BQ9&amp;"x"&amp;DA9,
ROUND(D9*L9,0)&amp;"x"&amp;AV9&amp;"x"&amp;CF9&amp;CHAR(10)&amp;ROUND(D9*S9,0)&amp;"x"&amp;BC9&amp;"x"&amp;CM9&amp;CHAR(10)&amp;ROUND(D9*Z9,0)&amp;"x"&amp;BJ9&amp;"x"&amp;CT9&amp;CHAR(10)&amp;ROUND(D9*AG9,0)&amp;"x"&amp;BQ9&amp;"x"&amp;DA9&amp;CHAR(10)&amp;ROUND(D9*AN9,0)&amp;"x"&amp;BX9&amp;"x"&amp;DH9
)))))</f>
        <v>284x5x1</v>
      </c>
      <c r="E54" s="10" t="str">
        <f t="shared" ref="E54:J57" si="30">IF(E38=0,
"",
IF(E38=1,
ROUND(E9*M9,0)&amp;"x"&amp;AW9&amp;"x"&amp;CG9,
IF(E38=2,
ROUND(E9*M9,0)&amp;"x"&amp;AW9&amp;"x"&amp;CG9&amp;CHAR(10)&amp;ROUND(E9*T9,0)&amp;"x"&amp;BD9&amp;"x"&amp;CN9,
IF(E38=3,
ROUND(E9*M9,0)&amp;"x"&amp;AW9&amp;"x"&amp;CG9&amp;CHAR(10)&amp;ROUND(E9*T9,0)&amp;"x"&amp;BD9&amp;"x"&amp;CN9&amp;CHAR(10)&amp;ROUND(E9*AA9,0)&amp;"x"&amp;BK9&amp;"x"&amp;CU9,
IF(E38=4,
ROUND(E9*M9,0)&amp;"x"&amp;AW9&amp;"x"&amp;CG9&amp;CHAR(10)&amp;ROUND(E9*T9,0)&amp;"x"&amp;BD9&amp;"x"&amp;CN9&amp;CHAR(10)&amp;ROUND(E9*AA9,0)&amp;"x"&amp;BK9&amp;"x"&amp;CU9&amp;CHAR(10)&amp;ROUND(E9*AH9,0)&amp;"x"&amp;BR9&amp;"x"&amp;DB9,
ROUND(E9*M9,0)&amp;"x"&amp;AW9&amp;"x"&amp;CG9&amp;CHAR(10)&amp;ROUND(E9*T9,0)&amp;"x"&amp;BD9&amp;"x"&amp;CN9&amp;CHAR(10)&amp;ROUND(E9*AA9,0)&amp;"x"&amp;BK9&amp;"x"&amp;CU9&amp;CHAR(10)&amp;ROUND(E9*AH9,0)&amp;"x"&amp;BR9&amp;"x"&amp;DB9&amp;CHAR(10)&amp;ROUND(E9*AO9,0)&amp;"x"&amp;BY9&amp;"x"&amp;DI9
)))))</f>
        <v/>
      </c>
      <c r="F54" s="10" t="str">
        <f t="shared" si="30"/>
        <v>293x5x1</v>
      </c>
      <c r="G54" s="10" t="str">
        <f t="shared" si="30"/>
        <v/>
      </c>
      <c r="H54" s="10" t="str">
        <f t="shared" si="30"/>
        <v>302x5x1</v>
      </c>
      <c r="I54" s="10" t="str">
        <f t="shared" si="30"/>
        <v/>
      </c>
      <c r="J54" s="10" t="str">
        <f t="shared" si="30"/>
        <v/>
      </c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</row>
    <row r="55" spans="2:47" x14ac:dyDescent="0.25">
      <c r="B55" s="14" t="s">
        <v>10</v>
      </c>
      <c r="C55" s="14">
        <f t="shared" si="28"/>
        <v>3</v>
      </c>
      <c r="D55" s="10" t="str">
        <f>IF(D39=0,
"",
IF(D39=1,
ROUND(D10*L10,0)&amp;"x"&amp;AV10&amp;"x"&amp;CF10,
IF(D39=2,
ROUND(D10*L10,0)&amp;"x"&amp;AV10&amp;"x"&amp;CF10&amp;CHAR(10)&amp;ROUND(D10*S10,0)&amp;"x"&amp;BC10&amp;"x"&amp;CM10,
IF(D39=3,
ROUND(D10*L10,0)&amp;"x"&amp;AV10&amp;"x"&amp;CF10&amp;CHAR(10)&amp;ROUND(D10*S10,0)&amp;"x"&amp;BC10&amp;"x"&amp;CM10&amp;CHAR(10)&amp;ROUND(D10*Z10,0)&amp;"x"&amp;BJ10&amp;"x"&amp;CT10,
IF(D39=4,
ROUND(D10*L10,0)&amp;"x"&amp;AV10&amp;"x"&amp;CF10&amp;CHAR(10)&amp;ROUND(D10*S10,0)&amp;"x"&amp;BC10&amp;"x"&amp;CM10&amp;CHAR(10)&amp;ROUND(D10*Z10,0)&amp;"x"&amp;BJ10&amp;"x"&amp;CT10&amp;CHAR(10)&amp;ROUND(D10*AG10,0)&amp;"x"&amp;BQ10&amp;"x"&amp;DA10,
ROUND(D10*L10,0)&amp;"x"&amp;AV10&amp;"x"&amp;CF10&amp;CHAR(10)&amp;ROUND(D10*S10,0)&amp;"x"&amp;BC10&amp;"x"&amp;CM10&amp;CHAR(10)&amp;ROUND(D10*Z10,0)&amp;"x"&amp;BJ10&amp;"x"&amp;CT10&amp;CHAR(10)&amp;ROUND(D10*AG10,0)&amp;"x"&amp;BQ10&amp;"x"&amp;DA10&amp;CHAR(10)&amp;ROUND(D10*AN10,0)&amp;"x"&amp;BX10&amp;"x"&amp;DH10
)))))</f>
        <v>256x9x4</v>
      </c>
      <c r="E55" s="10" t="str">
        <f t="shared" si="30"/>
        <v/>
      </c>
      <c r="F55" s="10" t="str">
        <f t="shared" si="30"/>
        <v>274x7x5</v>
      </c>
      <c r="G55" s="10" t="str">
        <f t="shared" si="30"/>
        <v/>
      </c>
      <c r="H55" s="10" t="str">
        <f t="shared" si="30"/>
        <v>292x5x7</v>
      </c>
      <c r="I55" s="10" t="str">
        <f t="shared" si="30"/>
        <v>310x3x10</v>
      </c>
      <c r="J55" s="10" t="str">
        <f t="shared" si="30"/>
        <v/>
      </c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</row>
    <row r="56" spans="2:47" x14ac:dyDescent="0.25">
      <c r="B56" s="14" t="s">
        <v>10</v>
      </c>
      <c r="C56" s="14">
        <f t="shared" si="28"/>
        <v>4</v>
      </c>
      <c r="D56" s="10" t="str">
        <f>IF(D40=0,
"",
IF(D40=1,
ROUND(D11*L11,0)&amp;"x"&amp;AV11&amp;"x"&amp;CF11,
IF(D40=2,
ROUND(D11*L11,0)&amp;"x"&amp;AV11&amp;"x"&amp;CF11&amp;CHAR(10)&amp;ROUND(D11*S11,0)&amp;"x"&amp;BC11&amp;"x"&amp;CM11,
IF(D40=3,
ROUND(D11*L11,0)&amp;"x"&amp;AV11&amp;"x"&amp;CF11&amp;CHAR(10)&amp;ROUND(D11*S11,0)&amp;"x"&amp;BC11&amp;"x"&amp;CM11&amp;CHAR(10)&amp;ROUND(D11*Z11,0)&amp;"x"&amp;BJ11&amp;"x"&amp;CT11,
IF(D40=4,
ROUND(D11*L11,0)&amp;"x"&amp;AV11&amp;"x"&amp;CF11&amp;CHAR(10)&amp;ROUND(D11*S11,0)&amp;"x"&amp;BC11&amp;"x"&amp;CM11&amp;CHAR(10)&amp;ROUND(D11*Z11,0)&amp;"x"&amp;BJ11&amp;"x"&amp;CT11&amp;CHAR(10)&amp;ROUND(D11*AG11,0)&amp;"x"&amp;BQ11&amp;"x"&amp;DA11,
ROUND(D11*L11,0)&amp;"x"&amp;AV11&amp;"x"&amp;CF11&amp;CHAR(10)&amp;ROUND(D11*S11,0)&amp;"x"&amp;BC11&amp;"x"&amp;CM11&amp;CHAR(10)&amp;ROUND(D11*Z11,0)&amp;"x"&amp;BJ11&amp;"x"&amp;CT11&amp;CHAR(10)&amp;ROUND(D11*AG11,0)&amp;"x"&amp;BQ11&amp;"x"&amp;DA11&amp;CHAR(10)&amp;ROUND(D11*AN11,0)&amp;"x"&amp;BX11&amp;"x"&amp;DH11
)))))</f>
        <v>263x9x4</v>
      </c>
      <c r="E56" s="10" t="str">
        <f t="shared" si="30"/>
        <v/>
      </c>
      <c r="F56" s="10" t="str">
        <f t="shared" si="30"/>
        <v>281x7x5</v>
      </c>
      <c r="G56" s="10" t="str">
        <f t="shared" si="30"/>
        <v/>
      </c>
      <c r="H56" s="10" t="str">
        <f t="shared" si="30"/>
        <v>300x5x7</v>
      </c>
      <c r="I56" s="10" t="str">
        <f t="shared" si="30"/>
        <v>319x3x10</v>
      </c>
      <c r="J56" s="10" t="str">
        <f t="shared" si="30"/>
        <v/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</row>
    <row r="57" spans="2:47" x14ac:dyDescent="0.25">
      <c r="B57" s="14" t="s">
        <v>10</v>
      </c>
      <c r="C57" s="14">
        <f t="shared" si="28"/>
        <v>5</v>
      </c>
      <c r="D57" s="10" t="str">
        <f>IF(D41=0,
"",
IF(D41=1,
ROUND(D12*L12,0)&amp;"x"&amp;AV12&amp;"x"&amp;CF12,
IF(D41=2,
ROUND(D12*L12,0)&amp;"x"&amp;AV12&amp;"x"&amp;CF12&amp;CHAR(10)&amp;ROUND(D12*S12,0)&amp;"x"&amp;BC12&amp;"x"&amp;CM12,
IF(D41=3,
ROUND(D12*L12,0)&amp;"x"&amp;AV12&amp;"x"&amp;CF12&amp;CHAR(10)&amp;ROUND(D12*S12,0)&amp;"x"&amp;BC12&amp;"x"&amp;CM12&amp;CHAR(10)&amp;ROUND(D12*Z12,0)&amp;"x"&amp;BJ12&amp;"x"&amp;CT12,
IF(D41=4,
ROUND(D12*L12,0)&amp;"x"&amp;AV12&amp;"x"&amp;CF12&amp;CHAR(10)&amp;ROUND(D12*S12,0)&amp;"x"&amp;BC12&amp;"x"&amp;CM12&amp;CHAR(10)&amp;ROUND(D12*Z12,0)&amp;"x"&amp;BJ12&amp;"x"&amp;CT12&amp;CHAR(10)&amp;ROUND(D12*AG12,0)&amp;"x"&amp;BQ12&amp;"x"&amp;DA12,
ROUND(D12*L12,0)&amp;"x"&amp;AV12&amp;"x"&amp;CF12&amp;CHAR(10)&amp;ROUND(D12*S12,0)&amp;"x"&amp;BC12&amp;"x"&amp;CM12&amp;CHAR(10)&amp;ROUND(D12*Z12,0)&amp;"x"&amp;BJ12&amp;"x"&amp;CT12&amp;CHAR(10)&amp;ROUND(D12*AG12,0)&amp;"x"&amp;BQ12&amp;"x"&amp;DA12&amp;CHAR(10)&amp;ROUND(D12*AN12,0)&amp;"x"&amp;BX12&amp;"x"&amp;DH12
)))))</f>
        <v>263x9x4</v>
      </c>
      <c r="E57" s="10" t="str">
        <f t="shared" si="30"/>
        <v/>
      </c>
      <c r="F57" s="10" t="str">
        <f t="shared" si="30"/>
        <v>281x7x5</v>
      </c>
      <c r="G57" s="10" t="str">
        <f t="shared" si="30"/>
        <v/>
      </c>
      <c r="H57" s="10" t="str">
        <f t="shared" si="30"/>
        <v>300x5x7</v>
      </c>
      <c r="I57" s="10" t="str">
        <f t="shared" si="30"/>
        <v>319x3x10</v>
      </c>
      <c r="J57" s="10" t="str">
        <f t="shared" si="30"/>
        <v/>
      </c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</row>
    <row r="58" spans="2:47" x14ac:dyDescent="0.25">
      <c r="B58" s="14" t="s">
        <v>10</v>
      </c>
      <c r="C58" s="14">
        <f t="shared" si="28"/>
        <v>6</v>
      </c>
      <c r="D58" s="11" t="s">
        <v>18</v>
      </c>
      <c r="E58" s="10" t="str">
        <f t="shared" ref="E58:E65" si="31">IF(E42=0,
"",
IF(E42=1,
ROUND(E13*M13,0)&amp;"x"&amp;AW13&amp;"x"&amp;CG13,
IF(E42=2,
ROUND(E13*M13,0)&amp;"x"&amp;AW13&amp;"x"&amp;CG13&amp;CHAR(10)&amp;ROUND(E13*T13,0)&amp;"x"&amp;BD13&amp;"x"&amp;CN13,
IF(E42=3,
ROUND(E13*M13,0)&amp;"x"&amp;AW13&amp;"x"&amp;CG13&amp;CHAR(10)&amp;ROUND(E13*T13,0)&amp;"x"&amp;BD13&amp;"x"&amp;CN13&amp;CHAR(10)&amp;ROUND(E13*AA13,0)&amp;"x"&amp;BK13&amp;"x"&amp;CU13,
IF(E42=4,
ROUND(E13*M13,0)&amp;"x"&amp;AW13&amp;"x"&amp;CG13&amp;CHAR(10)&amp;ROUND(E13*T13,0)&amp;"x"&amp;BD13&amp;"x"&amp;CN13&amp;CHAR(10)&amp;ROUND(E13*AA13,0)&amp;"x"&amp;BK13&amp;"x"&amp;CU13&amp;CHAR(10)&amp;ROUND(E13*AH13,0)&amp;"x"&amp;BR13&amp;"x"&amp;DB13,
ROUND(E13*M13,0)&amp;"x"&amp;AW13&amp;"x"&amp;CG13&amp;CHAR(10)&amp;ROUND(E13*T13,0)&amp;"x"&amp;BD13&amp;"x"&amp;CN13&amp;CHAR(10)&amp;ROUND(E13*AA13,0)&amp;"x"&amp;BK13&amp;"x"&amp;CU13&amp;CHAR(10)&amp;ROUND(E13*AH13,0)&amp;"x"&amp;BR13&amp;"x"&amp;DB13&amp;CHAR(10)&amp;ROUND(E13*AO13,0)&amp;"x"&amp;BY13&amp;"x"&amp;DI13
)))))</f>
        <v/>
      </c>
      <c r="F58" s="11" t="s">
        <v>18</v>
      </c>
      <c r="G58" s="10" t="str">
        <f t="shared" ref="G58:G65" si="32">IF(G42=0,
"",
IF(G42=1,
ROUND(G13*O13,0)&amp;"x"&amp;AY13&amp;"x"&amp;CI13,
IF(G42=2,
ROUND(G13*O13,0)&amp;"x"&amp;AY13&amp;"x"&amp;CI13&amp;CHAR(10)&amp;ROUND(G13*V13,0)&amp;"x"&amp;BF13&amp;"x"&amp;CP13,
IF(G42=3,
ROUND(G13*O13,0)&amp;"x"&amp;AY13&amp;"x"&amp;CI13&amp;CHAR(10)&amp;ROUND(G13*V13,0)&amp;"x"&amp;BF13&amp;"x"&amp;CP13&amp;CHAR(10)&amp;ROUND(G13*AC13,0)&amp;"x"&amp;BM13&amp;"x"&amp;CW13,
IF(G42=4,
ROUND(G13*O13,0)&amp;"x"&amp;AY13&amp;"x"&amp;CI13&amp;CHAR(10)&amp;ROUND(G13*V13,0)&amp;"x"&amp;BF13&amp;"x"&amp;CP13&amp;CHAR(10)&amp;ROUND(G13*AC13,0)&amp;"x"&amp;BM13&amp;"x"&amp;CW13&amp;CHAR(10)&amp;ROUND(G13*AJ13,0)&amp;"x"&amp;BT13&amp;"x"&amp;DD13,
ROUND(G13*O13,0)&amp;"x"&amp;AY13&amp;"x"&amp;CI13&amp;CHAR(10)&amp;ROUND(G13*V13,0)&amp;"x"&amp;BF13&amp;"x"&amp;CP13&amp;CHAR(10)&amp;ROUND(G13*AC13,0)&amp;"x"&amp;BM13&amp;"x"&amp;CW13&amp;CHAR(10)&amp;ROUND(G13*AJ13,0)&amp;"x"&amp;BT13&amp;"x"&amp;DD13&amp;CHAR(10)&amp;ROUND(G13*AQ13,0)&amp;"x"&amp;CA13&amp;"x"&amp;DK13
)))))</f>
        <v/>
      </c>
      <c r="H58" s="12" t="s">
        <v>19</v>
      </c>
      <c r="I58" s="10" t="str">
        <f t="shared" ref="I58:J64" si="33">IF(I42=0,
"",
IF(I42=1,
ROUND(I13*Q13,0)&amp;"x"&amp;BA13&amp;"x"&amp;CK13,
IF(I42=2,
ROUND(I13*Q13,0)&amp;"x"&amp;BA13&amp;"x"&amp;CK13&amp;CHAR(10)&amp;ROUND(I13*X13,0)&amp;"x"&amp;BH13&amp;"x"&amp;CR13,
IF(I42=3,
ROUND(I13*Q13,0)&amp;"x"&amp;BA13&amp;"x"&amp;CK13&amp;CHAR(10)&amp;ROUND(I13*X13,0)&amp;"x"&amp;BH13&amp;"x"&amp;CR13&amp;CHAR(10)&amp;ROUND(I13*AE13,0)&amp;"x"&amp;BO13&amp;"x"&amp;CY13,
IF(I42=4,
ROUND(I13*Q13,0)&amp;"x"&amp;BA13&amp;"x"&amp;CK13&amp;CHAR(10)&amp;ROUND(I13*X13,0)&amp;"x"&amp;BH13&amp;"x"&amp;CR13&amp;CHAR(10)&amp;ROUND(I13*AE13,0)&amp;"x"&amp;BO13&amp;"x"&amp;CY13&amp;CHAR(10)&amp;ROUND(I13*AL13,0)&amp;"x"&amp;BV13&amp;"x"&amp;DF13,
ROUND(I13*Q13,0)&amp;"x"&amp;BA13&amp;"x"&amp;CK13&amp;CHAR(10)&amp;ROUND(I13*X13,0)&amp;"x"&amp;BH13&amp;"x"&amp;CR13&amp;CHAR(10)&amp;ROUND(I13*AE13,0)&amp;"x"&amp;BO13&amp;"x"&amp;CY13&amp;CHAR(10)&amp;ROUND(I13*AL13,0)&amp;"x"&amp;BV13&amp;"x"&amp;DF13&amp;CHAR(10)&amp;ROUND(I13*AS13,0)&amp;"x"&amp;CC13&amp;"x"&amp;DM13
)))))</f>
        <v/>
      </c>
      <c r="J58" s="10" t="str">
        <f t="shared" si="33"/>
        <v/>
      </c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</row>
    <row r="59" spans="2:47" ht="74.25" customHeight="1" x14ac:dyDescent="0.25">
      <c r="B59" s="14" t="s">
        <v>11</v>
      </c>
      <c r="C59" s="14">
        <f t="shared" si="28"/>
        <v>7</v>
      </c>
      <c r="D59" s="13" t="s">
        <v>20</v>
      </c>
      <c r="E59" s="10" t="str">
        <f t="shared" si="31"/>
        <v/>
      </c>
      <c r="F59" s="13" t="s">
        <v>20</v>
      </c>
      <c r="G59" s="10" t="str">
        <f t="shared" si="32"/>
        <v/>
      </c>
      <c r="H59" s="13" t="s">
        <v>20</v>
      </c>
      <c r="I59" s="10" t="str">
        <f t="shared" si="33"/>
        <v/>
      </c>
      <c r="J59" s="10" t="str">
        <f t="shared" si="33"/>
        <v/>
      </c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</row>
    <row r="60" spans="2:47" ht="74.25" customHeight="1" x14ac:dyDescent="0.25">
      <c r="B60" s="14" t="s">
        <v>11</v>
      </c>
      <c r="C60" s="14">
        <f t="shared" si="28"/>
        <v>8</v>
      </c>
      <c r="D60" s="13" t="s">
        <v>20</v>
      </c>
      <c r="E60" s="10" t="str">
        <f t="shared" si="31"/>
        <v/>
      </c>
      <c r="F60" s="13" t="s">
        <v>20</v>
      </c>
      <c r="G60" s="10" t="str">
        <f t="shared" si="32"/>
        <v/>
      </c>
      <c r="H60" s="13" t="s">
        <v>20</v>
      </c>
      <c r="I60" s="10" t="str">
        <f t="shared" si="33"/>
        <v/>
      </c>
      <c r="J60" s="10" t="str">
        <f t="shared" si="33"/>
        <v/>
      </c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</row>
    <row r="61" spans="2:47" ht="74.25" customHeight="1" x14ac:dyDescent="0.25">
      <c r="B61" s="14" t="s">
        <v>12</v>
      </c>
      <c r="C61" s="14">
        <f t="shared" si="28"/>
        <v>9</v>
      </c>
      <c r="D61" s="10" t="str">
        <f>IF(D45=0,
"",
IF(D45=1,
ROUND(D16*L16,0)&amp;"x"&amp;AV16&amp;"x"&amp;CF16,
IF(D45=2,
ROUND(D16*L16,0)&amp;"x"&amp;AV16&amp;"x"&amp;CF16&amp;CHAR(10)&amp;ROUND(D16*S16,0)&amp;"x"&amp;BC16&amp;"x"&amp;CM16,
IF(D45=3,
ROUND(D16*L16,0)&amp;"x"&amp;AV16&amp;"x"&amp;CF16&amp;CHAR(10)&amp;ROUND(D16*S16,0)&amp;"x"&amp;BC16&amp;"x"&amp;CM16&amp;CHAR(10)&amp;ROUND(D16*Z16,0)&amp;"x"&amp;BJ16&amp;"x"&amp;CT16,
IF(D45=4,
ROUND(D16*L16,0)&amp;"x"&amp;AV16&amp;"x"&amp;CF16&amp;CHAR(10)&amp;ROUND(D16*S16,0)&amp;"x"&amp;BC16&amp;"x"&amp;CM16&amp;CHAR(10)&amp;ROUND(D16*Z16,0)&amp;"x"&amp;BJ16&amp;"x"&amp;CT16&amp;CHAR(10)&amp;ROUND(D16*AG16,0)&amp;"x"&amp;BQ16&amp;"x"&amp;DA16,
ROUND(D16*L16,0)&amp;"x"&amp;AV16&amp;"x"&amp;CF16&amp;CHAR(10)&amp;ROUND(D16*S16,0)&amp;"x"&amp;BC16&amp;"x"&amp;CM16&amp;CHAR(10)&amp;ROUND(D16*Z16,0)&amp;"x"&amp;BJ16&amp;"x"&amp;CT16&amp;CHAR(10)&amp;ROUND(D16*AG16,0)&amp;"x"&amp;BQ16&amp;"x"&amp;DA16&amp;CHAR(10)&amp;ROUND(D16*AN16,0)&amp;"x"&amp;BX16&amp;"x"&amp;DH16
)))))</f>
        <v>257x3x1
296x4x1
336x4x3
336x5x1</v>
      </c>
      <c r="E61" s="10" t="str">
        <f t="shared" si="31"/>
        <v/>
      </c>
      <c r="F61" s="10" t="str">
        <f>IF(F45=0,
"",
IF(F45=1,
ROUND(F16*N16,0)&amp;"x"&amp;AX16&amp;"x"&amp;CH16,
IF(F45=2,
ROUND(F16*N16,0)&amp;"x"&amp;AX16&amp;"x"&amp;CH16&amp;CHAR(10)&amp;ROUND(F16*U16,0)&amp;"x"&amp;BE16&amp;"x"&amp;CO16,
IF(F45=3,
ROUND(F16*N16,0)&amp;"x"&amp;AX16&amp;"x"&amp;CH16&amp;CHAR(10)&amp;ROUND(F16*U16,0)&amp;"x"&amp;BE16&amp;"x"&amp;CO16&amp;CHAR(10)&amp;ROUND(F16*AB16,0)&amp;"x"&amp;BL16&amp;"x"&amp;CV16,
IF(F45=4,
ROUND(F16*N16,0)&amp;"x"&amp;AX16&amp;"x"&amp;CH16&amp;CHAR(10)&amp;ROUND(F16*U16,0)&amp;"x"&amp;BE16&amp;"x"&amp;CO16&amp;CHAR(10)&amp;ROUND(F16*AB16,0)&amp;"x"&amp;BL16&amp;"x"&amp;CV16&amp;CHAR(10)&amp;ROUND(F16*AI16,0)&amp;"x"&amp;BS16&amp;"x"&amp;DC16,
ROUND(F16*N16,0)&amp;"x"&amp;AX16&amp;"x"&amp;CH16&amp;CHAR(10)&amp;ROUND(F16*U16,0)&amp;"x"&amp;BE16&amp;"x"&amp;CO16&amp;CHAR(10)&amp;ROUND(F16*AB16,0)&amp;"x"&amp;BL16&amp;"x"&amp;CV16&amp;CHAR(10)&amp;ROUND(F16*AI16,0)&amp;"x"&amp;BS16&amp;"x"&amp;DC16&amp;CHAR(10)&amp;ROUND(F16*AP16,0)&amp;"x"&amp;BZ16&amp;"x"&amp;DJ16
)))))</f>
        <v>237x3x1
277x3x1
316x4x1
356x3x1
336x5x2</v>
      </c>
      <c r="G61" s="10" t="str">
        <f t="shared" si="32"/>
        <v/>
      </c>
      <c r="H61" s="10" t="str">
        <f>IF(H45=0,
"",
IF(H45=1,
ROUND(H16*P16,0)&amp;"x"&amp;AZ16&amp;"x"&amp;CJ16,
IF(H45=2,
ROUND(H16*P16,0)&amp;"x"&amp;AZ16&amp;"x"&amp;CJ16&amp;CHAR(10)&amp;ROUND(H16*W16,0)&amp;"x"&amp;BG16&amp;"x"&amp;CQ16,
IF(H45=3,
ROUND(H16*P16,0)&amp;"x"&amp;AZ16&amp;"x"&amp;CJ16&amp;CHAR(10)&amp;ROUND(H16*W16,0)&amp;"x"&amp;BG16&amp;"x"&amp;CQ16&amp;CHAR(10)&amp;ROUND(H16*AD16,0)&amp;"x"&amp;BN16&amp;"x"&amp;CX16,
IF(H45=4,
ROUND(H16*P16,0)&amp;"x"&amp;AZ16&amp;"x"&amp;CJ16&amp;CHAR(10)&amp;ROUND(H16*W16,0)&amp;"x"&amp;BG16&amp;"x"&amp;CQ16&amp;CHAR(10)&amp;ROUND(H16*AD16,0)&amp;"x"&amp;BN16&amp;"x"&amp;CX16&amp;CHAR(10)&amp;ROUND(H16*AK16,0)&amp;"x"&amp;BU16&amp;"x"&amp;DE16,
ROUND(H16*P16,0)&amp;"x"&amp;AZ16&amp;"x"&amp;CJ16&amp;CHAR(10)&amp;ROUND(H16*W16,0)&amp;"x"&amp;BG16&amp;"x"&amp;CQ16&amp;CHAR(10)&amp;ROUND(H16*AD16,0)&amp;"x"&amp;BN16&amp;"x"&amp;CX16&amp;CHAR(10)&amp;ROUND(H16*AK16,0)&amp;"x"&amp;BU16&amp;"x"&amp;DE16&amp;CHAR(10)&amp;ROUND(H16*AR16,0)&amp;"x"&amp;CB16&amp;"x"&amp;DL16
)))))</f>
        <v/>
      </c>
      <c r="I61" s="10" t="str">
        <f t="shared" si="33"/>
        <v>257x4x1
277x4x1
316x4x5</v>
      </c>
      <c r="J61" s="10" t="str">
        <f t="shared" si="33"/>
        <v/>
      </c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</row>
    <row r="62" spans="2:47" ht="74.25" customHeight="1" x14ac:dyDescent="0.25">
      <c r="B62" s="14" t="s">
        <v>12</v>
      </c>
      <c r="C62" s="14">
        <f t="shared" si="28"/>
        <v>10</v>
      </c>
      <c r="D62" s="10" t="str">
        <f>IF(D46=0,
"",
IF(D46=1,
ROUND(D17*L17,0)&amp;"x"&amp;AV17&amp;"x"&amp;CF17,
IF(D46=2,
ROUND(D17*L17,0)&amp;"x"&amp;AV17&amp;"x"&amp;CF17&amp;CHAR(10)&amp;ROUND(D17*S17,0)&amp;"x"&amp;BC17&amp;"x"&amp;CM17,
IF(D46=3,
ROUND(D17*L17,0)&amp;"x"&amp;AV17&amp;"x"&amp;CF17&amp;CHAR(10)&amp;ROUND(D17*S17,0)&amp;"x"&amp;BC17&amp;"x"&amp;CM17&amp;CHAR(10)&amp;ROUND(D17*Z17,0)&amp;"x"&amp;BJ17&amp;"x"&amp;CT17,
IF(D46=4,
ROUND(D17*L17,0)&amp;"x"&amp;AV17&amp;"x"&amp;CF17&amp;CHAR(10)&amp;ROUND(D17*S17,0)&amp;"x"&amp;BC17&amp;"x"&amp;CM17&amp;CHAR(10)&amp;ROUND(D17*Z17,0)&amp;"x"&amp;BJ17&amp;"x"&amp;CT17&amp;CHAR(10)&amp;ROUND(D17*AG17,0)&amp;"x"&amp;BQ17&amp;"x"&amp;DA17,
ROUND(D17*L17,0)&amp;"x"&amp;AV17&amp;"x"&amp;CF17&amp;CHAR(10)&amp;ROUND(D17*S17,0)&amp;"x"&amp;BC17&amp;"x"&amp;CM17&amp;CHAR(10)&amp;ROUND(D17*Z17,0)&amp;"x"&amp;BJ17&amp;"x"&amp;CT17&amp;CHAR(10)&amp;ROUND(D17*AG17,0)&amp;"x"&amp;BQ17&amp;"x"&amp;DA17&amp;CHAR(10)&amp;ROUND(D17*AN17,0)&amp;"x"&amp;BX17&amp;"x"&amp;DH17
)))))</f>
        <v>237x4x1
277x4x1
316x4x1
356x3x1
356x4x2</v>
      </c>
      <c r="E62" s="10" t="str">
        <f t="shared" si="31"/>
        <v/>
      </c>
      <c r="F62" s="10" t="str">
        <f>IF(F46=0,
"",
IF(F46=1,
ROUND(F17*N17,0)&amp;"x"&amp;AX17&amp;"x"&amp;CH17,
IF(F46=2,
ROUND(F17*N17,0)&amp;"x"&amp;AX17&amp;"x"&amp;CH17&amp;CHAR(10)&amp;ROUND(F17*U17,0)&amp;"x"&amp;BE17&amp;"x"&amp;CO17,
IF(F46=3,
ROUND(F17*N17,0)&amp;"x"&amp;AX17&amp;"x"&amp;CH17&amp;CHAR(10)&amp;ROUND(F17*U17,0)&amp;"x"&amp;BE17&amp;"x"&amp;CO17&amp;CHAR(10)&amp;ROUND(F17*AB17,0)&amp;"x"&amp;BL17&amp;"x"&amp;CV17,
IF(F46=4,
ROUND(F17*N17,0)&amp;"x"&amp;AX17&amp;"x"&amp;CH17&amp;CHAR(10)&amp;ROUND(F17*U17,0)&amp;"x"&amp;BE17&amp;"x"&amp;CO17&amp;CHAR(10)&amp;ROUND(F17*AB17,0)&amp;"x"&amp;BL17&amp;"x"&amp;CV17&amp;CHAR(10)&amp;ROUND(F17*AI17,0)&amp;"x"&amp;BS17&amp;"x"&amp;DC17,
ROUND(F17*N17,0)&amp;"x"&amp;AX17&amp;"x"&amp;CH17&amp;CHAR(10)&amp;ROUND(F17*U17,0)&amp;"x"&amp;BE17&amp;"x"&amp;CO17&amp;CHAR(10)&amp;ROUND(F17*AB17,0)&amp;"x"&amp;BL17&amp;"x"&amp;CV17&amp;CHAR(10)&amp;ROUND(F17*AI17,0)&amp;"x"&amp;BS17&amp;"x"&amp;DC17&amp;CHAR(10)&amp;ROUND(F17*AP17,0)&amp;"x"&amp;BZ17&amp;"x"&amp;DJ17
)))))</f>
        <v>257x3x1
296x3x1
336x3x1
356x3x3
375x3x1</v>
      </c>
      <c r="G62" s="10" t="str">
        <f t="shared" si="32"/>
        <v/>
      </c>
      <c r="H62" s="10" t="str">
        <f>IF(H46=0,
"",
IF(H46=1,
ROUND(H17*P17,0)&amp;"x"&amp;AZ17&amp;"x"&amp;CJ17,
IF(H46=2,
ROUND(H17*P17,0)&amp;"x"&amp;AZ17&amp;"x"&amp;CJ17&amp;CHAR(10)&amp;ROUND(H17*W17,0)&amp;"x"&amp;BG17&amp;"x"&amp;CQ17,
IF(H46=3,
ROUND(H17*P17,0)&amp;"x"&amp;AZ17&amp;"x"&amp;CJ17&amp;CHAR(10)&amp;ROUND(H17*W17,0)&amp;"x"&amp;BG17&amp;"x"&amp;CQ17&amp;CHAR(10)&amp;ROUND(H17*AD17,0)&amp;"x"&amp;BN17&amp;"x"&amp;CX17,
IF(H46=4,
ROUND(H17*P17,0)&amp;"x"&amp;AZ17&amp;"x"&amp;CJ17&amp;CHAR(10)&amp;ROUND(H17*W17,0)&amp;"x"&amp;BG17&amp;"x"&amp;CQ17&amp;CHAR(10)&amp;ROUND(H17*AD17,0)&amp;"x"&amp;BN17&amp;"x"&amp;CX17&amp;CHAR(10)&amp;ROUND(H17*AK17,0)&amp;"x"&amp;BU17&amp;"x"&amp;DE17,
ROUND(H17*P17,0)&amp;"x"&amp;AZ17&amp;"x"&amp;CJ17&amp;CHAR(10)&amp;ROUND(H17*W17,0)&amp;"x"&amp;BG17&amp;"x"&amp;CQ17&amp;CHAR(10)&amp;ROUND(H17*AD17,0)&amp;"x"&amp;BN17&amp;"x"&amp;CX17&amp;CHAR(10)&amp;ROUND(H17*AK17,0)&amp;"x"&amp;BU17&amp;"x"&amp;DE17&amp;CHAR(10)&amp;ROUND(H17*AR17,0)&amp;"x"&amp;CB17&amp;"x"&amp;DL17
)))))</f>
        <v/>
      </c>
      <c r="I62" s="10" t="str">
        <f t="shared" si="33"/>
        <v>257x3x1
296x3x1
336x4x1
356x5x4</v>
      </c>
      <c r="J62" s="10" t="str">
        <f t="shared" si="33"/>
        <v/>
      </c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</row>
    <row r="63" spans="2:47" ht="60" x14ac:dyDescent="0.25">
      <c r="B63" s="14" t="s">
        <v>12</v>
      </c>
      <c r="C63" s="14">
        <f t="shared" si="28"/>
        <v>11</v>
      </c>
      <c r="D63" s="10" t="str">
        <f>IF(D47=0,
"",
IF(D47=1,
ROUND(D18*L18,0)&amp;"x"&amp;AV18&amp;"x"&amp;CF18,
IF(D47=2,
ROUND(D18*L18,0)&amp;"x"&amp;AV18&amp;"x"&amp;CF18&amp;CHAR(10)&amp;ROUND(D18*S18,0)&amp;"x"&amp;BC18&amp;"x"&amp;CM18,
IF(D47=3,
ROUND(D18*L18,0)&amp;"x"&amp;AV18&amp;"x"&amp;CF18&amp;CHAR(10)&amp;ROUND(D18*S18,0)&amp;"x"&amp;BC18&amp;"x"&amp;CM18&amp;CHAR(10)&amp;ROUND(D18*Z18,0)&amp;"x"&amp;BJ18&amp;"x"&amp;CT18,
IF(D47=4,
ROUND(D18*L18,0)&amp;"x"&amp;AV18&amp;"x"&amp;CF18&amp;CHAR(10)&amp;ROUND(D18*S18,0)&amp;"x"&amp;BC18&amp;"x"&amp;CM18&amp;CHAR(10)&amp;ROUND(D18*Z18,0)&amp;"x"&amp;BJ18&amp;"x"&amp;CT18&amp;CHAR(10)&amp;ROUND(D18*AG18,0)&amp;"x"&amp;BQ18&amp;"x"&amp;DA18,
ROUND(D18*L18,0)&amp;"x"&amp;AV18&amp;"x"&amp;CF18&amp;CHAR(10)&amp;ROUND(D18*S18,0)&amp;"x"&amp;BC18&amp;"x"&amp;CM18&amp;CHAR(10)&amp;ROUND(D18*Z18,0)&amp;"x"&amp;BJ18&amp;"x"&amp;CT18&amp;CHAR(10)&amp;ROUND(D18*AG18,0)&amp;"x"&amp;BQ18&amp;"x"&amp;DA18&amp;CHAR(10)&amp;ROUND(D18*AN18,0)&amp;"x"&amp;BX18&amp;"x"&amp;DH18
)))))</f>
        <v>237x3x1
277x3x1
316x3x1
356x5x5</v>
      </c>
      <c r="E63" s="10" t="str">
        <f t="shared" si="31"/>
        <v/>
      </c>
      <c r="F63" s="10" t="str">
        <f>IF(F47=0,
"",
IF(F47=1,
ROUND(F18*N18,0)&amp;"x"&amp;AX18&amp;"x"&amp;CH18,
IF(F47=2,
ROUND(F18*N18,0)&amp;"x"&amp;AX18&amp;"x"&amp;CH18&amp;CHAR(10)&amp;ROUND(F18*U18,0)&amp;"x"&amp;BE18&amp;"x"&amp;CO18,
IF(F47=3,
ROUND(F18*N18,0)&amp;"x"&amp;AX18&amp;"x"&amp;CH18&amp;CHAR(10)&amp;ROUND(F18*U18,0)&amp;"x"&amp;BE18&amp;"x"&amp;CO18&amp;CHAR(10)&amp;ROUND(F18*AB18,0)&amp;"x"&amp;BL18&amp;"x"&amp;CV18,
IF(F47=4,
ROUND(F18*N18,0)&amp;"x"&amp;AX18&amp;"x"&amp;CH18&amp;CHAR(10)&amp;ROUND(F18*U18,0)&amp;"x"&amp;BE18&amp;"x"&amp;CO18&amp;CHAR(10)&amp;ROUND(F18*AB18,0)&amp;"x"&amp;BL18&amp;"x"&amp;CV18&amp;CHAR(10)&amp;ROUND(F18*AI18,0)&amp;"x"&amp;BS18&amp;"x"&amp;DC18,
ROUND(F18*N18,0)&amp;"x"&amp;AX18&amp;"x"&amp;CH18&amp;CHAR(10)&amp;ROUND(F18*U18,0)&amp;"x"&amp;BE18&amp;"x"&amp;CO18&amp;CHAR(10)&amp;ROUND(F18*AB18,0)&amp;"x"&amp;BL18&amp;"x"&amp;CV18&amp;CHAR(10)&amp;ROUND(F18*AI18,0)&amp;"x"&amp;BS18&amp;"x"&amp;DC18&amp;CHAR(10)&amp;ROUND(F18*AP18,0)&amp;"x"&amp;BZ18&amp;"x"&amp;DJ18
)))))</f>
        <v>237x3x1
277x3x1
316x3x1
375x3x2</v>
      </c>
      <c r="G63" s="10" t="str">
        <f t="shared" si="32"/>
        <v/>
      </c>
      <c r="H63" s="10" t="str">
        <f>IF(H47=0,
"",
IF(H47=1,
ROUND(H18*P18,0)&amp;"x"&amp;AZ18&amp;"x"&amp;CJ18,
IF(H47=2,
ROUND(H18*P18,0)&amp;"x"&amp;AZ18&amp;"x"&amp;CJ18&amp;CHAR(10)&amp;ROUND(H18*W18,0)&amp;"x"&amp;BG18&amp;"x"&amp;CQ18,
IF(H47=3,
ROUND(H18*P18,0)&amp;"x"&amp;AZ18&amp;"x"&amp;CJ18&amp;CHAR(10)&amp;ROUND(H18*W18,0)&amp;"x"&amp;BG18&amp;"x"&amp;CQ18&amp;CHAR(10)&amp;ROUND(H18*AD18,0)&amp;"x"&amp;BN18&amp;"x"&amp;CX18,
IF(H47=4,
ROUND(H18*P18,0)&amp;"x"&amp;AZ18&amp;"x"&amp;CJ18&amp;CHAR(10)&amp;ROUND(H18*W18,0)&amp;"x"&amp;BG18&amp;"x"&amp;CQ18&amp;CHAR(10)&amp;ROUND(H18*AD18,0)&amp;"x"&amp;BN18&amp;"x"&amp;CX18&amp;CHAR(10)&amp;ROUND(H18*AK18,0)&amp;"x"&amp;BU18&amp;"x"&amp;DE18,
ROUND(H18*P18,0)&amp;"x"&amp;AZ18&amp;"x"&amp;CJ18&amp;CHAR(10)&amp;ROUND(H18*W18,0)&amp;"x"&amp;BG18&amp;"x"&amp;CQ18&amp;CHAR(10)&amp;ROUND(H18*AD18,0)&amp;"x"&amp;BN18&amp;"x"&amp;CX18&amp;CHAR(10)&amp;ROUND(H18*AK18,0)&amp;"x"&amp;BU18&amp;"x"&amp;DE18&amp;CHAR(10)&amp;ROUND(H18*AR18,0)&amp;"x"&amp;CB18&amp;"x"&amp;DL18
)))))</f>
        <v/>
      </c>
      <c r="I63" s="10" t="str">
        <f t="shared" si="33"/>
        <v>257x3x1
296x3x1
336x3x1
375x3x4</v>
      </c>
      <c r="J63" s="10" t="str">
        <f t="shared" si="33"/>
        <v/>
      </c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</row>
    <row r="64" spans="2:47" ht="45" x14ac:dyDescent="0.25">
      <c r="B64" s="14" t="s">
        <v>12</v>
      </c>
      <c r="C64" s="14">
        <f t="shared" si="28"/>
        <v>12</v>
      </c>
      <c r="D64" s="10" t="str">
        <f>IF(D48=0,
"",
IF(D48=1,
ROUND(D19*L19,0)&amp;"x"&amp;AV19&amp;"x"&amp;CF19,
IF(D48=2,
ROUND(D19*L19,0)&amp;"x"&amp;AV19&amp;"x"&amp;CF19&amp;CHAR(10)&amp;ROUND(D19*S19,0)&amp;"x"&amp;BC19&amp;"x"&amp;CM19,
IF(D48=3,
ROUND(D19*L19,0)&amp;"x"&amp;AV19&amp;"x"&amp;CF19&amp;CHAR(10)&amp;ROUND(D19*S19,0)&amp;"x"&amp;BC19&amp;"x"&amp;CM19&amp;CHAR(10)&amp;ROUND(D19*Z19,0)&amp;"x"&amp;BJ19&amp;"x"&amp;CT19,
IF(D48=4,
ROUND(D19*L19,0)&amp;"x"&amp;AV19&amp;"x"&amp;CF19&amp;CHAR(10)&amp;ROUND(D19*S19,0)&amp;"x"&amp;BC19&amp;"x"&amp;CM19&amp;CHAR(10)&amp;ROUND(D19*Z19,0)&amp;"x"&amp;BJ19&amp;"x"&amp;CT19&amp;CHAR(10)&amp;ROUND(D19*AG19,0)&amp;"x"&amp;BQ19&amp;"x"&amp;DA19,
ROUND(D19*L19,0)&amp;"x"&amp;AV19&amp;"x"&amp;CF19&amp;CHAR(10)&amp;ROUND(D19*S19,0)&amp;"x"&amp;BC19&amp;"x"&amp;CM19&amp;CHAR(10)&amp;ROUND(D19*Z19,0)&amp;"x"&amp;BJ19&amp;"x"&amp;CT19&amp;CHAR(10)&amp;ROUND(D19*AG19,0)&amp;"x"&amp;BQ19&amp;"x"&amp;DA19&amp;CHAR(10)&amp;ROUND(D19*AN19,0)&amp;"x"&amp;BX19&amp;"x"&amp;DH19
)))))</f>
        <v>277x3x1
316x3x1
356x5x5</v>
      </c>
      <c r="E64" s="10" t="str">
        <f t="shared" si="31"/>
        <v/>
      </c>
      <c r="F64" s="10" t="str">
        <f>IF(F48=0,
"",
IF(F48=1,
ROUND(F19*N19,0)&amp;"x"&amp;AX19&amp;"x"&amp;CH19,
IF(F48=2,
ROUND(F19*N19,0)&amp;"x"&amp;AX19&amp;"x"&amp;CH19&amp;CHAR(10)&amp;ROUND(F19*U19,0)&amp;"x"&amp;BE19&amp;"x"&amp;CO19,
IF(F48=3,
ROUND(F19*N19,0)&amp;"x"&amp;AX19&amp;"x"&amp;CH19&amp;CHAR(10)&amp;ROUND(F19*U19,0)&amp;"x"&amp;BE19&amp;"x"&amp;CO19&amp;CHAR(10)&amp;ROUND(F19*AB19,0)&amp;"x"&amp;BL19&amp;"x"&amp;CV19,
IF(F48=4,
ROUND(F19*N19,0)&amp;"x"&amp;AX19&amp;"x"&amp;CH19&amp;CHAR(10)&amp;ROUND(F19*U19,0)&amp;"x"&amp;BE19&amp;"x"&amp;CO19&amp;CHAR(10)&amp;ROUND(F19*AB19,0)&amp;"x"&amp;BL19&amp;"x"&amp;CV19&amp;CHAR(10)&amp;ROUND(F19*AI19,0)&amp;"x"&amp;BS19&amp;"x"&amp;DC19,
ROUND(F19*N19,0)&amp;"x"&amp;AX19&amp;"x"&amp;CH19&amp;CHAR(10)&amp;ROUND(F19*U19,0)&amp;"x"&amp;BE19&amp;"x"&amp;CO19&amp;CHAR(10)&amp;ROUND(F19*AB19,0)&amp;"x"&amp;BL19&amp;"x"&amp;CV19&amp;CHAR(10)&amp;ROUND(F19*AI19,0)&amp;"x"&amp;BS19&amp;"x"&amp;DC19&amp;CHAR(10)&amp;ROUND(F19*AP19,0)&amp;"x"&amp;BZ19&amp;"x"&amp;DJ19
)))))</f>
        <v>277x3x1
316x3x1
375x3x4</v>
      </c>
      <c r="G64" s="10" t="str">
        <f t="shared" si="32"/>
        <v/>
      </c>
      <c r="H64" s="10" t="str">
        <f>IF(H48=0,
"",
IF(H48=1,
ROUND(H19*P19,0)&amp;"x"&amp;AZ19&amp;"x"&amp;CJ19,
IF(H48=2,
ROUND(H19*P19,0)&amp;"x"&amp;AZ19&amp;"x"&amp;CJ19&amp;CHAR(10)&amp;ROUND(H19*W19,0)&amp;"x"&amp;BG19&amp;"x"&amp;CQ19,
IF(H48=3,
ROUND(H19*P19,0)&amp;"x"&amp;AZ19&amp;"x"&amp;CJ19&amp;CHAR(10)&amp;ROUND(H19*W19,0)&amp;"x"&amp;BG19&amp;"x"&amp;CQ19&amp;CHAR(10)&amp;ROUND(H19*AD19,0)&amp;"x"&amp;BN19&amp;"x"&amp;CX19,
IF(H48=4,
ROUND(H19*P19,0)&amp;"x"&amp;AZ19&amp;"x"&amp;CJ19&amp;CHAR(10)&amp;ROUND(H19*W19,0)&amp;"x"&amp;BG19&amp;"x"&amp;CQ19&amp;CHAR(10)&amp;ROUND(H19*AD19,0)&amp;"x"&amp;BN19&amp;"x"&amp;CX19&amp;CHAR(10)&amp;ROUND(H19*AK19,0)&amp;"x"&amp;BU19&amp;"x"&amp;DE19,
ROUND(H19*P19,0)&amp;"x"&amp;AZ19&amp;"x"&amp;CJ19&amp;CHAR(10)&amp;ROUND(H19*W19,0)&amp;"x"&amp;BG19&amp;"x"&amp;CQ19&amp;CHAR(10)&amp;ROUND(H19*AD19,0)&amp;"x"&amp;BN19&amp;"x"&amp;CX19&amp;CHAR(10)&amp;ROUND(H19*AK19,0)&amp;"x"&amp;BU19&amp;"x"&amp;DE19&amp;CHAR(10)&amp;ROUND(H19*AR19,0)&amp;"x"&amp;CB19&amp;"x"&amp;DL19
)))))</f>
        <v/>
      </c>
      <c r="I64" s="10" t="str">
        <f t="shared" si="33"/>
        <v>296x3x1
356x4x1
375x4x3</v>
      </c>
      <c r="J64" s="10" t="str">
        <f t="shared" si="33"/>
        <v/>
      </c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</row>
    <row r="65" spans="2:47" ht="30" x14ac:dyDescent="0.25">
      <c r="B65" s="14" t="s">
        <v>13</v>
      </c>
      <c r="C65" s="14">
        <f t="shared" si="28"/>
        <v>13</v>
      </c>
      <c r="D65" s="10" t="str">
        <f>IF(D49=0,
"",
IF(D49=1,
ROUND(D20*L20,0)&amp;"x"&amp;AV20&amp;"x"&amp;CF20,
IF(D49=2,
ROUND(D20*L20,0)&amp;"x"&amp;AV20&amp;"x"&amp;CF20&amp;CHAR(10)&amp;ROUND(D20*S20,0)&amp;"x"&amp;BC20&amp;"x"&amp;CM20,
IF(D49=3,
ROUND(D20*L20,0)&amp;"x"&amp;AV20&amp;"x"&amp;CF20&amp;CHAR(10)&amp;ROUND(D20*S20,0)&amp;"x"&amp;BC20&amp;"x"&amp;CM20&amp;CHAR(10)&amp;ROUND(D20*Z20,0)&amp;"x"&amp;BJ20&amp;"x"&amp;CT20,
IF(D49=4,
ROUND(D20*L20,0)&amp;"x"&amp;AV20&amp;"x"&amp;CF20&amp;CHAR(10)&amp;ROUND(D20*S20,0)&amp;"x"&amp;BC20&amp;"x"&amp;CM20&amp;CHAR(10)&amp;ROUND(D20*Z20,0)&amp;"x"&amp;BJ20&amp;"x"&amp;CT20&amp;CHAR(10)&amp;ROUND(D20*AG20,0)&amp;"x"&amp;BQ20&amp;"x"&amp;DA20,
ROUND(D20*L20,0)&amp;"x"&amp;AV20&amp;"x"&amp;CF20&amp;CHAR(10)&amp;ROUND(D20*S20,0)&amp;"x"&amp;BC20&amp;"x"&amp;CM20&amp;CHAR(10)&amp;ROUND(D20*Z20,0)&amp;"x"&amp;BJ20&amp;"x"&amp;CT20&amp;CHAR(10)&amp;ROUND(D20*AG20,0)&amp;"x"&amp;BQ20&amp;"x"&amp;DA20&amp;CHAR(10)&amp;ROUND(D20*AN20,0)&amp;"x"&amp;BX20&amp;"x"&amp;DH20
)))))</f>
        <v>277x3x1
316x3x1</v>
      </c>
      <c r="E65" s="10" t="str">
        <f t="shared" si="31"/>
        <v/>
      </c>
      <c r="F65" s="10" t="str">
        <f>IF(F49=0,
"",
IF(F49=1,
ROUND(F20*N20,0)&amp;"x"&amp;AX20&amp;"x"&amp;CH20,
IF(F49=2,
ROUND(F20*N20,0)&amp;"x"&amp;AX20&amp;"x"&amp;CH20&amp;CHAR(10)&amp;ROUND(F20*U20,0)&amp;"x"&amp;BE20&amp;"x"&amp;CO20,
IF(F49=3,
ROUND(F20*N20,0)&amp;"x"&amp;AX20&amp;"x"&amp;CH20&amp;CHAR(10)&amp;ROUND(F20*U20,0)&amp;"x"&amp;BE20&amp;"x"&amp;CO20&amp;CHAR(10)&amp;ROUND(F20*AB20,0)&amp;"x"&amp;BL20&amp;"x"&amp;CV20,
IF(F49=4,
ROUND(F20*N20,0)&amp;"x"&amp;AX20&amp;"x"&amp;CH20&amp;CHAR(10)&amp;ROUND(F20*U20,0)&amp;"x"&amp;BE20&amp;"x"&amp;CO20&amp;CHAR(10)&amp;ROUND(F20*AB20,0)&amp;"x"&amp;BL20&amp;"x"&amp;CV20&amp;CHAR(10)&amp;ROUND(F20*AI20,0)&amp;"x"&amp;BS20&amp;"x"&amp;DC20,
ROUND(F20*N20,0)&amp;"x"&amp;AX20&amp;"x"&amp;CH20&amp;CHAR(10)&amp;ROUND(F20*U20,0)&amp;"x"&amp;BE20&amp;"x"&amp;CO20&amp;CHAR(10)&amp;ROUND(F20*AB20,0)&amp;"x"&amp;BL20&amp;"x"&amp;CV20&amp;CHAR(10)&amp;ROUND(F20*AI20,0)&amp;"x"&amp;BS20&amp;"x"&amp;DC20&amp;CHAR(10)&amp;ROUND(F20*AP20,0)&amp;"x"&amp;BZ20&amp;"x"&amp;DJ20
)))))</f>
        <v>296x4x1
336x4x4</v>
      </c>
      <c r="G65" s="10" t="str">
        <f t="shared" si="32"/>
        <v/>
      </c>
      <c r="H65" s="10" t="str">
        <f>IF(H49=0,
"",
IF(H49=1,
ROUND(H20*P20,0)&amp;"x"&amp;AZ20&amp;"x"&amp;CJ20,
IF(H49=2,
ROUND(H20*P20,0)&amp;"x"&amp;AZ20&amp;"x"&amp;CJ20&amp;CHAR(10)&amp;ROUND(H20*W20,0)&amp;"x"&amp;BG20&amp;"x"&amp;CQ20,
IF(H49=3,
ROUND(H20*P20,0)&amp;"x"&amp;AZ20&amp;"x"&amp;CJ20&amp;CHAR(10)&amp;ROUND(H20*W20,0)&amp;"x"&amp;BG20&amp;"x"&amp;CQ20&amp;CHAR(10)&amp;ROUND(H20*AD20,0)&amp;"x"&amp;BN20&amp;"x"&amp;CX20,
IF(H49=4,
ROUND(H20*P20,0)&amp;"x"&amp;AZ20&amp;"x"&amp;CJ20&amp;CHAR(10)&amp;ROUND(H20*W20,0)&amp;"x"&amp;BG20&amp;"x"&amp;CQ20&amp;CHAR(10)&amp;ROUND(H20*AD20,0)&amp;"x"&amp;BN20&amp;"x"&amp;CX20&amp;CHAR(10)&amp;ROUND(H20*AK20,0)&amp;"x"&amp;BU20&amp;"x"&amp;DE20,
ROUND(H20*P20,0)&amp;"x"&amp;AZ20&amp;"x"&amp;CJ20&amp;CHAR(10)&amp;ROUND(H20*W20,0)&amp;"x"&amp;BG20&amp;"x"&amp;CQ20&amp;CHAR(10)&amp;ROUND(H20*AD20,0)&amp;"x"&amp;BN20&amp;"x"&amp;CX20&amp;CHAR(10)&amp;ROUND(H20*AK20,0)&amp;"x"&amp;BU20&amp;"x"&amp;DE20&amp;CHAR(10)&amp;ROUND(H20*AR20,0)&amp;"x"&amp;CB20&amp;"x"&amp;DL20
)))))</f>
        <v/>
      </c>
      <c r="I65" s="10" t="str">
        <f>IF(I49=0,
"",
IF(I49=1,
ROUND(I20*Q20,0)&amp;"x"&amp;BA20&amp;"x"&amp;CK20,
IF(I49=2,
ROUND(I20*Q20,0)&amp;"x"&amp;BA20&amp;"x"&amp;CK20&amp;CHAR(10)&amp;ROUND(I20*X20,0)&amp;"x"&amp;BH20&amp;"x"&amp;CR20,
IF(I49=3,
ROUND(I20*Q20,0)&amp;"x"&amp;BA20&amp;"x"&amp;CK20&amp;CHAR(10)&amp;ROUND(I20*X20,0)&amp;"x"&amp;BH20&amp;"x"&amp;CR20&amp;CHAR(10)&amp;ROUND(I20*AE20,0)&amp;"x"&amp;BO20&amp;"x"&amp;CY20,
IF(I49=4,
ROUND(I20*Q20,0)&amp;"x"&amp;BA20&amp;"x"&amp;CK20&amp;CHAR(10)&amp;ROUND(I20*X20,0)&amp;"x"&amp;BH20&amp;"x"&amp;CR20&amp;CHAR(10)&amp;ROUND(I20*AE20,0)&amp;"x"&amp;BO20&amp;"x"&amp;CY20&amp;CHAR(10)&amp;ROUND(I20*AL20,0)&amp;"x"&amp;BV20&amp;"x"&amp;DF20,
ROUND(I20*Q20,0)&amp;"x"&amp;BA20&amp;"x"&amp;CK20&amp;CHAR(10)&amp;ROUND(I20*X20,0)&amp;"x"&amp;BH20&amp;"x"&amp;CR20&amp;CHAR(10)&amp;ROUND(I20*AE20,0)&amp;"x"&amp;BO20&amp;"x"&amp;CY20&amp;CHAR(10)&amp;ROUND(I20*AL20,0)&amp;"x"&amp;BV20&amp;"x"&amp;DF20&amp;CHAR(10)&amp;ROUND(I20*AS20,0)&amp;"x"&amp;CC20&amp;"x"&amp;DM20
)))))</f>
        <v/>
      </c>
      <c r="J65" s="12" t="s">
        <v>19</v>
      </c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</row>
    <row r="66" spans="2:47" x14ac:dyDescent="0.25"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</row>
    <row r="67" spans="2:47" x14ac:dyDescent="0.25"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</row>
    <row r="68" spans="2:47" x14ac:dyDescent="0.25"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</row>
    <row r="69" spans="2:47" x14ac:dyDescent="0.25"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</row>
    <row r="70" spans="2:47" x14ac:dyDescent="0.25"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</row>
    <row r="71" spans="2:47" x14ac:dyDescent="0.25"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</row>
    <row r="72" spans="2:47" x14ac:dyDescent="0.25"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</row>
    <row r="73" spans="2:47" x14ac:dyDescent="0.25"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</row>
    <row r="74" spans="2:47" x14ac:dyDescent="0.25"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</row>
    <row r="75" spans="2:47" x14ac:dyDescent="0.25"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</row>
    <row r="76" spans="2:47" x14ac:dyDescent="0.25"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</row>
    <row r="77" spans="2:47" x14ac:dyDescent="0.25"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</row>
    <row r="78" spans="2:47" x14ac:dyDescent="0.25"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</row>
    <row r="79" spans="2:47" x14ac:dyDescent="0.25"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</row>
    <row r="80" spans="2:47" x14ac:dyDescent="0.25"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</row>
    <row r="81" spans="12:47" x14ac:dyDescent="0.25"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</row>
    <row r="82" spans="12:47" x14ac:dyDescent="0.25"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</row>
    <row r="83" spans="12:47" x14ac:dyDescent="0.25"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</row>
    <row r="84" spans="12:47" x14ac:dyDescent="0.25"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</row>
    <row r="85" spans="12:47" x14ac:dyDescent="0.25"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</row>
    <row r="86" spans="12:47" x14ac:dyDescent="0.25"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</row>
    <row r="87" spans="12:47" x14ac:dyDescent="0.25"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</row>
    <row r="88" spans="12:47" x14ac:dyDescent="0.25"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</row>
    <row r="89" spans="12:47" x14ac:dyDescent="0.25"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</row>
    <row r="90" spans="12:47" x14ac:dyDescent="0.25"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</row>
    <row r="91" spans="12:47" x14ac:dyDescent="0.25"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</row>
    <row r="92" spans="12:47" x14ac:dyDescent="0.25"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</row>
    <row r="93" spans="12:47" x14ac:dyDescent="0.25"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</row>
    <row r="94" spans="12:47" x14ac:dyDescent="0.25"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</row>
    <row r="95" spans="12:47" x14ac:dyDescent="0.25"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</row>
    <row r="96" spans="12:47" x14ac:dyDescent="0.25"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</row>
    <row r="97" spans="12:47" x14ac:dyDescent="0.25"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</row>
    <row r="98" spans="12:47" x14ac:dyDescent="0.25"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</row>
    <row r="99" spans="12:47" x14ac:dyDescent="0.25"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</row>
    <row r="100" spans="12:47" x14ac:dyDescent="0.25"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</row>
    <row r="101" spans="12:47" x14ac:dyDescent="0.25"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</row>
    <row r="102" spans="12:47" x14ac:dyDescent="0.25"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</row>
    <row r="103" spans="12:47" x14ac:dyDescent="0.25"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</row>
    <row r="104" spans="12:47" x14ac:dyDescent="0.25"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E5DC8-3C8C-494C-9E54-7747392096DA}">
  <dimension ref="A2:DO104"/>
  <sheetViews>
    <sheetView workbookViewId="0"/>
  </sheetViews>
  <sheetFormatPr defaultRowHeight="15" outlineLevelRow="1" outlineLevelCol="1" x14ac:dyDescent="0.25"/>
  <cols>
    <col min="2" max="2" width="10.140625" customWidth="1"/>
    <col min="11" max="11" width="3.140625" customWidth="1"/>
    <col min="12" max="46" width="4.28515625" hidden="1" customWidth="1" outlineLevel="1"/>
    <col min="47" max="47" width="4.28515625" customWidth="1" collapsed="1"/>
    <col min="48" max="82" width="3.5703125" hidden="1" customWidth="1" outlineLevel="1"/>
    <col min="83" max="83" width="3.140625" customWidth="1" collapsed="1"/>
    <col min="84" max="118" width="3.5703125" hidden="1" customWidth="1" outlineLevel="1"/>
    <col min="119" max="119" width="9.140625" collapsed="1"/>
  </cols>
  <sheetData>
    <row r="2" spans="1:118" x14ac:dyDescent="0.25">
      <c r="B2" t="s">
        <v>21</v>
      </c>
    </row>
    <row r="3" spans="1:118" x14ac:dyDescent="0.25">
      <c r="B3" s="15">
        <v>44008</v>
      </c>
    </row>
    <row r="4" spans="1:118" x14ac:dyDescent="0.25">
      <c r="B4" t="s">
        <v>22</v>
      </c>
    </row>
    <row r="5" spans="1:118" x14ac:dyDescent="0.25">
      <c r="B5" s="15">
        <f>J35</f>
        <v>44098</v>
      </c>
      <c r="L5" t="s">
        <v>15</v>
      </c>
      <c r="AV5" t="s">
        <v>16</v>
      </c>
      <c r="CF5" t="s">
        <v>16</v>
      </c>
    </row>
    <row r="6" spans="1:118" x14ac:dyDescent="0.25">
      <c r="D6" t="s">
        <v>14</v>
      </c>
      <c r="L6" s="2">
        <v>1</v>
      </c>
      <c r="M6" s="2">
        <f t="shared" ref="M6:R6" si="0">L6</f>
        <v>1</v>
      </c>
      <c r="N6" s="2">
        <f t="shared" si="0"/>
        <v>1</v>
      </c>
      <c r="O6" s="2">
        <f t="shared" si="0"/>
        <v>1</v>
      </c>
      <c r="P6" s="2">
        <f t="shared" si="0"/>
        <v>1</v>
      </c>
      <c r="Q6" s="2">
        <f t="shared" si="0"/>
        <v>1</v>
      </c>
      <c r="R6" s="2">
        <f t="shared" si="0"/>
        <v>1</v>
      </c>
      <c r="S6" s="2">
        <v>2</v>
      </c>
      <c r="T6" s="2">
        <f t="shared" ref="T6:Y6" si="1">S6</f>
        <v>2</v>
      </c>
      <c r="U6" s="2">
        <f t="shared" si="1"/>
        <v>2</v>
      </c>
      <c r="V6" s="2">
        <f t="shared" si="1"/>
        <v>2</v>
      </c>
      <c r="W6" s="2">
        <f t="shared" si="1"/>
        <v>2</v>
      </c>
      <c r="X6" s="2">
        <f t="shared" si="1"/>
        <v>2</v>
      </c>
      <c r="Y6" s="2">
        <f t="shared" si="1"/>
        <v>2</v>
      </c>
      <c r="Z6" s="2">
        <v>3</v>
      </c>
      <c r="AA6" s="2">
        <f t="shared" ref="AA6:AF6" si="2">Z6</f>
        <v>3</v>
      </c>
      <c r="AB6" s="2">
        <f t="shared" si="2"/>
        <v>3</v>
      </c>
      <c r="AC6" s="2">
        <f t="shared" si="2"/>
        <v>3</v>
      </c>
      <c r="AD6" s="2">
        <f t="shared" si="2"/>
        <v>3</v>
      </c>
      <c r="AE6" s="2">
        <f t="shared" si="2"/>
        <v>3</v>
      </c>
      <c r="AF6" s="2">
        <f t="shared" si="2"/>
        <v>3</v>
      </c>
      <c r="AG6" s="2">
        <v>4</v>
      </c>
      <c r="AH6" s="2">
        <f t="shared" ref="AH6:AM6" si="3">AG6</f>
        <v>4</v>
      </c>
      <c r="AI6" s="2">
        <f t="shared" si="3"/>
        <v>4</v>
      </c>
      <c r="AJ6" s="2">
        <f t="shared" si="3"/>
        <v>4</v>
      </c>
      <c r="AK6" s="2">
        <f t="shared" si="3"/>
        <v>4</v>
      </c>
      <c r="AL6" s="2">
        <f t="shared" si="3"/>
        <v>4</v>
      </c>
      <c r="AM6" s="2">
        <f t="shared" si="3"/>
        <v>4</v>
      </c>
      <c r="AN6" s="2">
        <v>5</v>
      </c>
      <c r="AO6" s="2">
        <f t="shared" ref="AO6:AT6" si="4">AN6</f>
        <v>5</v>
      </c>
      <c r="AP6" s="2">
        <f t="shared" si="4"/>
        <v>5</v>
      </c>
      <c r="AQ6" s="2">
        <f t="shared" si="4"/>
        <v>5</v>
      </c>
      <c r="AR6" s="2">
        <f t="shared" si="4"/>
        <v>5</v>
      </c>
      <c r="AS6" s="2">
        <f t="shared" si="4"/>
        <v>5</v>
      </c>
      <c r="AT6" s="2">
        <f t="shared" si="4"/>
        <v>5</v>
      </c>
      <c r="AV6" s="2">
        <f>L6</f>
        <v>1</v>
      </c>
      <c r="AW6" s="2">
        <f t="shared" ref="AW6:BL7" si="5">M6</f>
        <v>1</v>
      </c>
      <c r="AX6" s="2">
        <f t="shared" si="5"/>
        <v>1</v>
      </c>
      <c r="AY6" s="2">
        <f t="shared" si="5"/>
        <v>1</v>
      </c>
      <c r="AZ6" s="2">
        <f t="shared" si="5"/>
        <v>1</v>
      </c>
      <c r="BA6" s="2">
        <f t="shared" si="5"/>
        <v>1</v>
      </c>
      <c r="BB6" s="2">
        <f t="shared" si="5"/>
        <v>1</v>
      </c>
      <c r="BC6" s="2">
        <f t="shared" si="5"/>
        <v>2</v>
      </c>
      <c r="BD6" s="2">
        <f t="shared" si="5"/>
        <v>2</v>
      </c>
      <c r="BE6" s="2">
        <f t="shared" si="5"/>
        <v>2</v>
      </c>
      <c r="BF6" s="2">
        <f t="shared" si="5"/>
        <v>2</v>
      </c>
      <c r="BG6" s="2">
        <f t="shared" si="5"/>
        <v>2</v>
      </c>
      <c r="BH6" s="2">
        <f t="shared" si="5"/>
        <v>2</v>
      </c>
      <c r="BI6" s="2">
        <f t="shared" si="5"/>
        <v>2</v>
      </c>
      <c r="BJ6" s="2">
        <f t="shared" si="5"/>
        <v>3</v>
      </c>
      <c r="BK6" s="2">
        <f t="shared" si="5"/>
        <v>3</v>
      </c>
      <c r="BL6" s="2">
        <f t="shared" si="5"/>
        <v>3</v>
      </c>
      <c r="BM6" s="2">
        <f t="shared" ref="BM6:CB7" si="6">AC6</f>
        <v>3</v>
      </c>
      <c r="BN6" s="2">
        <f t="shared" si="6"/>
        <v>3</v>
      </c>
      <c r="BO6" s="2">
        <f t="shared" si="6"/>
        <v>3</v>
      </c>
      <c r="BP6" s="2">
        <f t="shared" si="6"/>
        <v>3</v>
      </c>
      <c r="BQ6" s="2">
        <f t="shared" si="6"/>
        <v>4</v>
      </c>
      <c r="BR6" s="2">
        <f t="shared" si="6"/>
        <v>4</v>
      </c>
      <c r="BS6" s="2">
        <f t="shared" si="6"/>
        <v>4</v>
      </c>
      <c r="BT6" s="2">
        <f t="shared" si="6"/>
        <v>4</v>
      </c>
      <c r="BU6" s="2">
        <f t="shared" si="6"/>
        <v>4</v>
      </c>
      <c r="BV6" s="2">
        <f t="shared" si="6"/>
        <v>4</v>
      </c>
      <c r="BW6" s="2">
        <f t="shared" si="6"/>
        <v>4</v>
      </c>
      <c r="BX6" s="2">
        <f t="shared" si="6"/>
        <v>5</v>
      </c>
      <c r="BY6" s="2">
        <f t="shared" si="6"/>
        <v>5</v>
      </c>
      <c r="BZ6" s="2">
        <f t="shared" si="6"/>
        <v>5</v>
      </c>
      <c r="CA6" s="2">
        <f t="shared" si="6"/>
        <v>5</v>
      </c>
      <c r="CB6" s="2">
        <f t="shared" si="6"/>
        <v>5</v>
      </c>
      <c r="CC6" s="2">
        <f t="shared" ref="CC6:CD7" si="7">AS6</f>
        <v>5</v>
      </c>
      <c r="CD6" s="2">
        <f t="shared" si="7"/>
        <v>5</v>
      </c>
      <c r="CF6" s="2">
        <f>L6</f>
        <v>1</v>
      </c>
      <c r="CG6" s="2">
        <f t="shared" ref="CG6:CV7" si="8">M6</f>
        <v>1</v>
      </c>
      <c r="CH6" s="2">
        <f t="shared" si="8"/>
        <v>1</v>
      </c>
      <c r="CI6" s="2">
        <f t="shared" si="8"/>
        <v>1</v>
      </c>
      <c r="CJ6" s="2">
        <f t="shared" si="8"/>
        <v>1</v>
      </c>
      <c r="CK6" s="2">
        <f t="shared" si="8"/>
        <v>1</v>
      </c>
      <c r="CL6" s="2">
        <f t="shared" si="8"/>
        <v>1</v>
      </c>
      <c r="CM6" s="2">
        <f t="shared" si="8"/>
        <v>2</v>
      </c>
      <c r="CN6" s="2">
        <f t="shared" si="8"/>
        <v>2</v>
      </c>
      <c r="CO6" s="2">
        <f t="shared" si="8"/>
        <v>2</v>
      </c>
      <c r="CP6" s="2">
        <f t="shared" si="8"/>
        <v>2</v>
      </c>
      <c r="CQ6" s="2">
        <f t="shared" si="8"/>
        <v>2</v>
      </c>
      <c r="CR6" s="2">
        <f t="shared" si="8"/>
        <v>2</v>
      </c>
      <c r="CS6" s="2">
        <f t="shared" si="8"/>
        <v>2</v>
      </c>
      <c r="CT6" s="2">
        <f t="shared" si="8"/>
        <v>3</v>
      </c>
      <c r="CU6" s="2">
        <f t="shared" si="8"/>
        <v>3</v>
      </c>
      <c r="CV6" s="2">
        <f t="shared" si="8"/>
        <v>3</v>
      </c>
      <c r="CW6" s="2">
        <f t="shared" ref="CW6:DL7" si="9">AC6</f>
        <v>3</v>
      </c>
      <c r="CX6" s="2">
        <f t="shared" si="9"/>
        <v>3</v>
      </c>
      <c r="CY6" s="2">
        <f t="shared" si="9"/>
        <v>3</v>
      </c>
      <c r="CZ6" s="2">
        <f t="shared" si="9"/>
        <v>3</v>
      </c>
      <c r="DA6" s="2">
        <f t="shared" si="9"/>
        <v>4</v>
      </c>
      <c r="DB6" s="2">
        <f t="shared" si="9"/>
        <v>4</v>
      </c>
      <c r="DC6" s="2">
        <f t="shared" si="9"/>
        <v>4</v>
      </c>
      <c r="DD6" s="2">
        <f t="shared" si="9"/>
        <v>4</v>
      </c>
      <c r="DE6" s="2">
        <f t="shared" si="9"/>
        <v>4</v>
      </c>
      <c r="DF6" s="2">
        <f t="shared" si="9"/>
        <v>4</v>
      </c>
      <c r="DG6" s="2">
        <f t="shared" si="9"/>
        <v>4</v>
      </c>
      <c r="DH6" s="2">
        <f t="shared" si="9"/>
        <v>5</v>
      </c>
      <c r="DI6" s="2">
        <f t="shared" si="9"/>
        <v>5</v>
      </c>
      <c r="DJ6" s="2">
        <f t="shared" si="9"/>
        <v>5</v>
      </c>
      <c r="DK6" s="2">
        <f t="shared" si="9"/>
        <v>5</v>
      </c>
      <c r="DL6" s="2">
        <f t="shared" si="9"/>
        <v>5</v>
      </c>
      <c r="DM6" s="2">
        <f t="shared" ref="DM6:DN7" si="10">AS6</f>
        <v>5</v>
      </c>
      <c r="DN6" s="2">
        <f t="shared" si="10"/>
        <v>5</v>
      </c>
    </row>
    <row r="7" spans="1:118" x14ac:dyDescent="0.25">
      <c r="A7" s="8" t="s">
        <v>17</v>
      </c>
      <c r="B7" s="4" t="s">
        <v>8</v>
      </c>
      <c r="C7" s="4" t="s">
        <v>7</v>
      </c>
      <c r="D7" s="4" t="s">
        <v>0</v>
      </c>
      <c r="E7" s="4" t="s">
        <v>1</v>
      </c>
      <c r="F7" s="4" t="s">
        <v>2</v>
      </c>
      <c r="G7" s="4" t="s">
        <v>3</v>
      </c>
      <c r="H7" s="4" t="s">
        <v>4</v>
      </c>
      <c r="I7" s="4" t="s">
        <v>5</v>
      </c>
      <c r="J7" s="4" t="s">
        <v>6</v>
      </c>
      <c r="L7" s="4" t="s">
        <v>0</v>
      </c>
      <c r="M7" s="4" t="s">
        <v>1</v>
      </c>
      <c r="N7" s="4" t="s">
        <v>2</v>
      </c>
      <c r="O7" s="4" t="s">
        <v>3</v>
      </c>
      <c r="P7" s="4" t="s">
        <v>4</v>
      </c>
      <c r="Q7" s="4" t="s">
        <v>5</v>
      </c>
      <c r="R7" s="4" t="s">
        <v>6</v>
      </c>
      <c r="S7" s="4" t="s">
        <v>0</v>
      </c>
      <c r="T7" s="4" t="s">
        <v>1</v>
      </c>
      <c r="U7" s="4" t="s">
        <v>2</v>
      </c>
      <c r="V7" s="4" t="s">
        <v>3</v>
      </c>
      <c r="W7" s="4" t="s">
        <v>4</v>
      </c>
      <c r="X7" s="4" t="s">
        <v>5</v>
      </c>
      <c r="Y7" s="4" t="s">
        <v>6</v>
      </c>
      <c r="Z7" s="4" t="s">
        <v>0</v>
      </c>
      <c r="AA7" s="4" t="s">
        <v>1</v>
      </c>
      <c r="AB7" s="4" t="s">
        <v>2</v>
      </c>
      <c r="AC7" s="4" t="s">
        <v>3</v>
      </c>
      <c r="AD7" s="4" t="s">
        <v>4</v>
      </c>
      <c r="AE7" s="4" t="s">
        <v>5</v>
      </c>
      <c r="AF7" s="4" t="s">
        <v>6</v>
      </c>
      <c r="AG7" s="4" t="s">
        <v>0</v>
      </c>
      <c r="AH7" s="4" t="s">
        <v>1</v>
      </c>
      <c r="AI7" s="4" t="s">
        <v>2</v>
      </c>
      <c r="AJ7" s="4" t="s">
        <v>3</v>
      </c>
      <c r="AK7" s="4" t="s">
        <v>4</v>
      </c>
      <c r="AL7" s="4" t="s">
        <v>5</v>
      </c>
      <c r="AM7" s="4" t="s">
        <v>6</v>
      </c>
      <c r="AN7" s="4" t="s">
        <v>0</v>
      </c>
      <c r="AO7" s="4" t="s">
        <v>1</v>
      </c>
      <c r="AP7" s="4" t="s">
        <v>2</v>
      </c>
      <c r="AQ7" s="4" t="s">
        <v>3</v>
      </c>
      <c r="AR7" s="4" t="s">
        <v>4</v>
      </c>
      <c r="AS7" s="4" t="s">
        <v>5</v>
      </c>
      <c r="AT7" s="4" t="s">
        <v>6</v>
      </c>
      <c r="AV7" s="4" t="str">
        <f t="shared" ref="AV7" si="11">L7</f>
        <v>M</v>
      </c>
      <c r="AW7" s="4" t="str">
        <f t="shared" si="5"/>
        <v>T</v>
      </c>
      <c r="AX7" s="4" t="str">
        <f t="shared" si="5"/>
        <v>W</v>
      </c>
      <c r="AY7" s="4" t="str">
        <f t="shared" si="5"/>
        <v>H</v>
      </c>
      <c r="AZ7" s="4" t="str">
        <f t="shared" si="5"/>
        <v>F</v>
      </c>
      <c r="BA7" s="4" t="str">
        <f t="shared" si="5"/>
        <v>Sa</v>
      </c>
      <c r="BB7" s="4" t="str">
        <f t="shared" si="5"/>
        <v>Su</v>
      </c>
      <c r="BC7" s="4" t="str">
        <f t="shared" si="5"/>
        <v>M</v>
      </c>
      <c r="BD7" s="4" t="str">
        <f t="shared" si="5"/>
        <v>T</v>
      </c>
      <c r="BE7" s="4" t="str">
        <f t="shared" si="5"/>
        <v>W</v>
      </c>
      <c r="BF7" s="4" t="str">
        <f t="shared" si="5"/>
        <v>H</v>
      </c>
      <c r="BG7" s="4" t="str">
        <f t="shared" si="5"/>
        <v>F</v>
      </c>
      <c r="BH7" s="4" t="str">
        <f t="shared" si="5"/>
        <v>Sa</v>
      </c>
      <c r="BI7" s="4" t="str">
        <f t="shared" si="5"/>
        <v>Su</v>
      </c>
      <c r="BJ7" s="4" t="str">
        <f t="shared" si="5"/>
        <v>M</v>
      </c>
      <c r="BK7" s="4" t="str">
        <f t="shared" si="5"/>
        <v>T</v>
      </c>
      <c r="BL7" s="4" t="str">
        <f t="shared" si="5"/>
        <v>W</v>
      </c>
      <c r="BM7" s="4" t="str">
        <f t="shared" si="6"/>
        <v>H</v>
      </c>
      <c r="BN7" s="4" t="str">
        <f t="shared" si="6"/>
        <v>F</v>
      </c>
      <c r="BO7" s="4" t="str">
        <f t="shared" si="6"/>
        <v>Sa</v>
      </c>
      <c r="BP7" s="4" t="str">
        <f t="shared" si="6"/>
        <v>Su</v>
      </c>
      <c r="BQ7" s="4" t="str">
        <f t="shared" si="6"/>
        <v>M</v>
      </c>
      <c r="BR7" s="4" t="str">
        <f t="shared" si="6"/>
        <v>T</v>
      </c>
      <c r="BS7" s="4" t="str">
        <f t="shared" si="6"/>
        <v>W</v>
      </c>
      <c r="BT7" s="4" t="str">
        <f t="shared" si="6"/>
        <v>H</v>
      </c>
      <c r="BU7" s="4" t="str">
        <f t="shared" si="6"/>
        <v>F</v>
      </c>
      <c r="BV7" s="4" t="str">
        <f t="shared" si="6"/>
        <v>Sa</v>
      </c>
      <c r="BW7" s="4" t="str">
        <f t="shared" si="6"/>
        <v>Su</v>
      </c>
      <c r="BX7" s="4" t="str">
        <f t="shared" si="6"/>
        <v>M</v>
      </c>
      <c r="BY7" s="4" t="str">
        <f t="shared" si="6"/>
        <v>T</v>
      </c>
      <c r="BZ7" s="4" t="str">
        <f t="shared" si="6"/>
        <v>W</v>
      </c>
      <c r="CA7" s="4" t="str">
        <f t="shared" si="6"/>
        <v>H</v>
      </c>
      <c r="CB7" s="4" t="str">
        <f t="shared" si="6"/>
        <v>F</v>
      </c>
      <c r="CC7" s="4" t="str">
        <f t="shared" si="7"/>
        <v>Sa</v>
      </c>
      <c r="CD7" s="4" t="str">
        <f t="shared" si="7"/>
        <v>Su</v>
      </c>
      <c r="CF7" s="4" t="str">
        <f t="shared" ref="CF7" si="12">L7</f>
        <v>M</v>
      </c>
      <c r="CG7" s="4" t="str">
        <f t="shared" si="8"/>
        <v>T</v>
      </c>
      <c r="CH7" s="4" t="str">
        <f t="shared" si="8"/>
        <v>W</v>
      </c>
      <c r="CI7" s="4" t="str">
        <f t="shared" si="8"/>
        <v>H</v>
      </c>
      <c r="CJ7" s="4" t="str">
        <f t="shared" si="8"/>
        <v>F</v>
      </c>
      <c r="CK7" s="4" t="str">
        <f t="shared" si="8"/>
        <v>Sa</v>
      </c>
      <c r="CL7" s="4" t="str">
        <f t="shared" si="8"/>
        <v>Su</v>
      </c>
      <c r="CM7" s="4" t="str">
        <f t="shared" si="8"/>
        <v>M</v>
      </c>
      <c r="CN7" s="4" t="str">
        <f t="shared" si="8"/>
        <v>T</v>
      </c>
      <c r="CO7" s="4" t="str">
        <f t="shared" si="8"/>
        <v>W</v>
      </c>
      <c r="CP7" s="4" t="str">
        <f t="shared" si="8"/>
        <v>H</v>
      </c>
      <c r="CQ7" s="4" t="str">
        <f t="shared" si="8"/>
        <v>F</v>
      </c>
      <c r="CR7" s="4" t="str">
        <f t="shared" si="8"/>
        <v>Sa</v>
      </c>
      <c r="CS7" s="4" t="str">
        <f t="shared" si="8"/>
        <v>Su</v>
      </c>
      <c r="CT7" s="4" t="str">
        <f t="shared" si="8"/>
        <v>M</v>
      </c>
      <c r="CU7" s="4" t="str">
        <f t="shared" si="8"/>
        <v>T</v>
      </c>
      <c r="CV7" s="4" t="str">
        <f t="shared" si="8"/>
        <v>W</v>
      </c>
      <c r="CW7" s="4" t="str">
        <f t="shared" si="9"/>
        <v>H</v>
      </c>
      <c r="CX7" s="4" t="str">
        <f t="shared" si="9"/>
        <v>F</v>
      </c>
      <c r="CY7" s="4" t="str">
        <f t="shared" si="9"/>
        <v>Sa</v>
      </c>
      <c r="CZ7" s="4" t="str">
        <f t="shared" si="9"/>
        <v>Su</v>
      </c>
      <c r="DA7" s="4" t="str">
        <f t="shared" si="9"/>
        <v>M</v>
      </c>
      <c r="DB7" s="4" t="str">
        <f t="shared" si="9"/>
        <v>T</v>
      </c>
      <c r="DC7" s="4" t="str">
        <f t="shared" si="9"/>
        <v>W</v>
      </c>
      <c r="DD7" s="4" t="str">
        <f t="shared" si="9"/>
        <v>H</v>
      </c>
      <c r="DE7" s="4" t="str">
        <f t="shared" si="9"/>
        <v>F</v>
      </c>
      <c r="DF7" s="4" t="str">
        <f t="shared" si="9"/>
        <v>Sa</v>
      </c>
      <c r="DG7" s="4" t="str">
        <f t="shared" si="9"/>
        <v>Su</v>
      </c>
      <c r="DH7" s="4" t="str">
        <f t="shared" si="9"/>
        <v>M</v>
      </c>
      <c r="DI7" s="4" t="str">
        <f t="shared" si="9"/>
        <v>T</v>
      </c>
      <c r="DJ7" s="4" t="str">
        <f t="shared" si="9"/>
        <v>W</v>
      </c>
      <c r="DK7" s="4" t="str">
        <f t="shared" si="9"/>
        <v>H</v>
      </c>
      <c r="DL7" s="4" t="str">
        <f t="shared" si="9"/>
        <v>F</v>
      </c>
      <c r="DM7" s="4" t="str">
        <f t="shared" si="10"/>
        <v>Sa</v>
      </c>
      <c r="DN7" s="4" t="str">
        <f t="shared" si="10"/>
        <v>Su</v>
      </c>
    </row>
    <row r="8" spans="1:118" x14ac:dyDescent="0.25">
      <c r="B8" s="7" t="s">
        <v>9</v>
      </c>
      <c r="C8" s="2">
        <v>1</v>
      </c>
      <c r="D8" s="5">
        <v>395</v>
      </c>
      <c r="E8" s="5">
        <v>395</v>
      </c>
      <c r="F8" s="5">
        <v>395</v>
      </c>
      <c r="G8" s="5">
        <v>395</v>
      </c>
      <c r="H8" s="5">
        <v>395</v>
      </c>
      <c r="I8" s="5">
        <v>395</v>
      </c>
      <c r="J8" s="5">
        <v>395</v>
      </c>
      <c r="L8" s="3">
        <v>0.65</v>
      </c>
      <c r="M8" s="3">
        <v>0.65</v>
      </c>
      <c r="N8" s="3">
        <v>0.7</v>
      </c>
      <c r="O8" s="3"/>
      <c r="P8" s="3"/>
      <c r="Q8" s="3"/>
      <c r="R8" s="3"/>
      <c r="S8" s="3">
        <v>0.7</v>
      </c>
      <c r="T8" s="3">
        <v>0.7</v>
      </c>
      <c r="U8" s="3">
        <v>0.75</v>
      </c>
      <c r="V8" s="3"/>
      <c r="W8" s="3"/>
      <c r="X8" s="3"/>
      <c r="Y8" s="3"/>
      <c r="Z8" s="3">
        <v>0.75</v>
      </c>
      <c r="AA8" s="3">
        <v>0.75</v>
      </c>
      <c r="AB8" s="3">
        <v>0.8</v>
      </c>
      <c r="AC8" s="3"/>
      <c r="AD8" s="3"/>
      <c r="AE8" s="3"/>
      <c r="AF8" s="3"/>
      <c r="AG8" s="3">
        <v>0.8</v>
      </c>
      <c r="AH8" s="3">
        <v>0.8</v>
      </c>
      <c r="AI8" s="3">
        <v>0.9</v>
      </c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V8">
        <v>8</v>
      </c>
      <c r="AW8">
        <v>8</v>
      </c>
      <c r="AX8">
        <v>5</v>
      </c>
      <c r="BC8">
        <v>5</v>
      </c>
      <c r="BD8">
        <v>5</v>
      </c>
      <c r="BE8">
        <v>3</v>
      </c>
      <c r="BJ8">
        <v>2</v>
      </c>
      <c r="BK8">
        <v>2</v>
      </c>
      <c r="BL8">
        <v>2</v>
      </c>
      <c r="BQ8">
        <v>1</v>
      </c>
      <c r="BR8">
        <v>1</v>
      </c>
      <c r="BS8">
        <v>1</v>
      </c>
      <c r="CF8">
        <v>3</v>
      </c>
      <c r="CG8">
        <v>3</v>
      </c>
      <c r="CH8">
        <v>4</v>
      </c>
      <c r="CM8">
        <v>1</v>
      </c>
      <c r="CN8">
        <v>1</v>
      </c>
      <c r="CO8">
        <v>1</v>
      </c>
      <c r="CT8">
        <v>2</v>
      </c>
      <c r="CU8">
        <v>2</v>
      </c>
      <c r="CV8">
        <v>2</v>
      </c>
      <c r="DA8">
        <v>1</v>
      </c>
      <c r="DB8">
        <v>1</v>
      </c>
      <c r="DC8">
        <v>1</v>
      </c>
    </row>
    <row r="9" spans="1:118" x14ac:dyDescent="0.25">
      <c r="B9" s="7" t="s">
        <v>9</v>
      </c>
      <c r="C9" s="2">
        <f>C8+1</f>
        <v>2</v>
      </c>
      <c r="D9" s="1">
        <v>395</v>
      </c>
      <c r="E9" s="1">
        <v>395</v>
      </c>
      <c r="F9" s="1">
        <v>395</v>
      </c>
      <c r="G9" s="1">
        <v>395</v>
      </c>
      <c r="H9" s="1">
        <v>395</v>
      </c>
      <c r="I9" s="1">
        <v>395</v>
      </c>
      <c r="J9" s="1">
        <v>395</v>
      </c>
      <c r="L9" s="3">
        <v>0.8</v>
      </c>
      <c r="M9" s="3"/>
      <c r="N9" s="3">
        <v>0.82499999999999996</v>
      </c>
      <c r="O9" s="3"/>
      <c r="P9" s="3">
        <v>0.85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>
        <v>5</v>
      </c>
      <c r="AX9">
        <v>5</v>
      </c>
      <c r="AZ9">
        <v>5</v>
      </c>
      <c r="CF9">
        <v>1</v>
      </c>
      <c r="CH9">
        <v>1</v>
      </c>
      <c r="CJ9">
        <v>1</v>
      </c>
    </row>
    <row r="10" spans="1:118" x14ac:dyDescent="0.25">
      <c r="A10">
        <v>10</v>
      </c>
      <c r="B10" s="7" t="s">
        <v>10</v>
      </c>
      <c r="C10" s="2">
        <f t="shared" ref="C10:C20" si="13">C9+1</f>
        <v>3</v>
      </c>
      <c r="D10" s="1">
        <f t="shared" ref="D10:J15" si="14">D9+$A10</f>
        <v>405</v>
      </c>
      <c r="E10" s="1">
        <f t="shared" si="14"/>
        <v>405</v>
      </c>
      <c r="F10" s="1">
        <f t="shared" si="14"/>
        <v>405</v>
      </c>
      <c r="G10" s="1">
        <f t="shared" si="14"/>
        <v>405</v>
      </c>
      <c r="H10" s="1">
        <f t="shared" si="14"/>
        <v>405</v>
      </c>
      <c r="I10" s="1">
        <f t="shared" si="14"/>
        <v>405</v>
      </c>
      <c r="J10" s="1">
        <f t="shared" si="14"/>
        <v>405</v>
      </c>
      <c r="L10" s="3">
        <v>0.7</v>
      </c>
      <c r="M10" s="3"/>
      <c r="N10" s="3">
        <v>0.75</v>
      </c>
      <c r="O10" s="3"/>
      <c r="P10" s="3">
        <v>0.8</v>
      </c>
      <c r="Q10" s="3">
        <v>0.85</v>
      </c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>
        <v>9</v>
      </c>
      <c r="AX10">
        <v>7</v>
      </c>
      <c r="AZ10">
        <v>5</v>
      </c>
      <c r="BA10">
        <v>3</v>
      </c>
      <c r="CF10">
        <v>4</v>
      </c>
      <c r="CH10">
        <v>5</v>
      </c>
      <c r="CJ10">
        <v>7</v>
      </c>
      <c r="CK10">
        <v>10</v>
      </c>
    </row>
    <row r="11" spans="1:118" x14ac:dyDescent="0.25">
      <c r="A11">
        <v>10</v>
      </c>
      <c r="B11" s="7" t="s">
        <v>10</v>
      </c>
      <c r="C11" s="2">
        <f t="shared" si="13"/>
        <v>4</v>
      </c>
      <c r="D11" s="1">
        <f t="shared" si="14"/>
        <v>415</v>
      </c>
      <c r="E11" s="1">
        <f t="shared" si="14"/>
        <v>415</v>
      </c>
      <c r="F11" s="1">
        <f t="shared" si="14"/>
        <v>415</v>
      </c>
      <c r="G11" s="1">
        <f t="shared" si="14"/>
        <v>415</v>
      </c>
      <c r="H11" s="1">
        <f t="shared" si="14"/>
        <v>415</v>
      </c>
      <c r="I11" s="1">
        <f t="shared" si="14"/>
        <v>415</v>
      </c>
      <c r="J11" s="1">
        <f t="shared" si="14"/>
        <v>415</v>
      </c>
      <c r="L11" s="3">
        <v>0.7</v>
      </c>
      <c r="M11" s="3"/>
      <c r="N11" s="3">
        <v>0.75</v>
      </c>
      <c r="O11" s="3"/>
      <c r="P11" s="3">
        <v>0.8</v>
      </c>
      <c r="Q11" s="3">
        <v>0.85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>
        <v>9</v>
      </c>
      <c r="AX11">
        <v>7</v>
      </c>
      <c r="AZ11">
        <v>5</v>
      </c>
      <c r="BA11">
        <v>3</v>
      </c>
      <c r="CF11">
        <v>4</v>
      </c>
      <c r="CH11">
        <v>5</v>
      </c>
      <c r="CJ11">
        <v>7</v>
      </c>
      <c r="CK11">
        <v>10</v>
      </c>
    </row>
    <row r="12" spans="1:118" x14ac:dyDescent="0.25">
      <c r="B12" s="7" t="s">
        <v>10</v>
      </c>
      <c r="C12" s="2">
        <f t="shared" si="13"/>
        <v>5</v>
      </c>
      <c r="D12" s="1">
        <f t="shared" si="14"/>
        <v>415</v>
      </c>
      <c r="E12" s="1">
        <f t="shared" si="14"/>
        <v>415</v>
      </c>
      <c r="F12" s="1">
        <f t="shared" si="14"/>
        <v>415</v>
      </c>
      <c r="G12" s="1">
        <f t="shared" si="14"/>
        <v>415</v>
      </c>
      <c r="H12" s="1">
        <f t="shared" si="14"/>
        <v>415</v>
      </c>
      <c r="I12" s="1">
        <f t="shared" si="14"/>
        <v>415</v>
      </c>
      <c r="J12" s="1">
        <f t="shared" si="14"/>
        <v>415</v>
      </c>
      <c r="L12" s="3">
        <v>0.7</v>
      </c>
      <c r="M12" s="3"/>
      <c r="N12" s="3">
        <v>0.75</v>
      </c>
      <c r="O12" s="3"/>
      <c r="P12" s="3">
        <v>0.8</v>
      </c>
      <c r="Q12" s="3">
        <v>0.85</v>
      </c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>
        <v>9</v>
      </c>
      <c r="AX12">
        <v>7</v>
      </c>
      <c r="AZ12">
        <v>5</v>
      </c>
      <c r="BA12">
        <v>3</v>
      </c>
      <c r="CF12">
        <v>4</v>
      </c>
      <c r="CH12">
        <v>5</v>
      </c>
      <c r="CJ12">
        <v>7</v>
      </c>
      <c r="CK12">
        <v>10</v>
      </c>
    </row>
    <row r="13" spans="1:118" x14ac:dyDescent="0.25">
      <c r="B13" s="7" t="s">
        <v>10</v>
      </c>
      <c r="C13" s="2">
        <f t="shared" si="13"/>
        <v>6</v>
      </c>
      <c r="D13" s="1">
        <f t="shared" si="14"/>
        <v>415</v>
      </c>
      <c r="E13" s="1">
        <f t="shared" si="14"/>
        <v>415</v>
      </c>
      <c r="F13" s="1">
        <f t="shared" si="14"/>
        <v>415</v>
      </c>
      <c r="G13" s="1">
        <f t="shared" si="14"/>
        <v>415</v>
      </c>
      <c r="H13" s="1">
        <f t="shared" si="14"/>
        <v>415</v>
      </c>
      <c r="I13" s="1">
        <f t="shared" si="14"/>
        <v>415</v>
      </c>
      <c r="J13" s="1">
        <f t="shared" si="14"/>
        <v>415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</row>
    <row r="14" spans="1:118" x14ac:dyDescent="0.25">
      <c r="B14" s="7" t="s">
        <v>11</v>
      </c>
      <c r="C14" s="2">
        <f t="shared" si="13"/>
        <v>7</v>
      </c>
      <c r="D14" s="1">
        <f t="shared" si="14"/>
        <v>415</v>
      </c>
      <c r="E14" s="1">
        <f t="shared" si="14"/>
        <v>415</v>
      </c>
      <c r="F14" s="1">
        <f t="shared" si="14"/>
        <v>415</v>
      </c>
      <c r="G14" s="1">
        <f t="shared" si="14"/>
        <v>415</v>
      </c>
      <c r="H14" s="1">
        <f t="shared" si="14"/>
        <v>415</v>
      </c>
      <c r="I14" s="1">
        <f t="shared" si="14"/>
        <v>415</v>
      </c>
      <c r="J14" s="1">
        <f t="shared" si="14"/>
        <v>415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</row>
    <row r="15" spans="1:118" x14ac:dyDescent="0.25">
      <c r="B15" s="7" t="s">
        <v>11</v>
      </c>
      <c r="C15" s="2">
        <f t="shared" si="13"/>
        <v>8</v>
      </c>
      <c r="D15" s="1">
        <f t="shared" si="14"/>
        <v>415</v>
      </c>
      <c r="E15" s="1">
        <f t="shared" si="14"/>
        <v>415</v>
      </c>
      <c r="F15" s="1">
        <f t="shared" si="14"/>
        <v>415</v>
      </c>
      <c r="G15" s="1">
        <f t="shared" si="14"/>
        <v>415</v>
      </c>
      <c r="H15" s="1">
        <f t="shared" si="14"/>
        <v>415</v>
      </c>
      <c r="I15" s="1">
        <f t="shared" si="14"/>
        <v>415</v>
      </c>
      <c r="J15" s="1">
        <f t="shared" si="14"/>
        <v>415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</row>
    <row r="16" spans="1:118" x14ac:dyDescent="0.25">
      <c r="B16" s="7" t="s">
        <v>12</v>
      </c>
      <c r="C16" s="2">
        <f t="shared" si="13"/>
        <v>9</v>
      </c>
      <c r="D16" s="1">
        <v>425</v>
      </c>
      <c r="E16" s="1">
        <v>425</v>
      </c>
      <c r="F16" s="1">
        <v>425</v>
      </c>
      <c r="G16" s="1">
        <v>425</v>
      </c>
      <c r="H16" s="1">
        <v>425</v>
      </c>
      <c r="I16" s="1">
        <v>425</v>
      </c>
      <c r="J16" s="1">
        <v>425</v>
      </c>
      <c r="L16" s="3">
        <v>0.65</v>
      </c>
      <c r="M16" s="3"/>
      <c r="N16" s="3">
        <v>0.6</v>
      </c>
      <c r="O16" s="3"/>
      <c r="P16" s="3"/>
      <c r="Q16" s="3">
        <v>0.65</v>
      </c>
      <c r="R16" s="3"/>
      <c r="S16" s="3">
        <v>0.75</v>
      </c>
      <c r="T16" s="3"/>
      <c r="U16" s="3">
        <v>0.7</v>
      </c>
      <c r="V16" s="3"/>
      <c r="W16" s="3"/>
      <c r="X16" s="3">
        <v>0.7</v>
      </c>
      <c r="Y16" s="3"/>
      <c r="Z16" s="3">
        <v>0.85</v>
      </c>
      <c r="AA16" s="3"/>
      <c r="AB16" s="3">
        <v>0.8</v>
      </c>
      <c r="AC16" s="3"/>
      <c r="AD16" s="3"/>
      <c r="AE16" s="3">
        <v>0.8</v>
      </c>
      <c r="AF16" s="3"/>
      <c r="AG16" s="3">
        <v>0.85</v>
      </c>
      <c r="AH16" s="3"/>
      <c r="AI16" s="3">
        <v>0.9</v>
      </c>
      <c r="AJ16" s="3"/>
      <c r="AK16" s="3"/>
      <c r="AL16" s="3"/>
      <c r="AM16" s="3"/>
      <c r="AN16" s="3"/>
      <c r="AO16" s="3"/>
      <c r="AP16" s="3">
        <v>0.85</v>
      </c>
      <c r="AQ16" s="3"/>
      <c r="AR16" s="3"/>
      <c r="AS16" s="3"/>
      <c r="AT16" s="3"/>
      <c r="AU16" s="3"/>
      <c r="AV16">
        <v>3</v>
      </c>
      <c r="AX16">
        <v>3</v>
      </c>
      <c r="BA16">
        <v>4</v>
      </c>
      <c r="BC16">
        <v>4</v>
      </c>
      <c r="BE16">
        <v>3</v>
      </c>
      <c r="BH16">
        <v>4</v>
      </c>
      <c r="BJ16">
        <v>4</v>
      </c>
      <c r="BL16">
        <v>4</v>
      </c>
      <c r="BO16">
        <v>4</v>
      </c>
      <c r="BQ16">
        <v>5</v>
      </c>
      <c r="BS16">
        <v>3</v>
      </c>
      <c r="BZ16">
        <v>5</v>
      </c>
      <c r="CF16">
        <v>1</v>
      </c>
      <c r="CH16">
        <v>1</v>
      </c>
      <c r="CK16">
        <v>1</v>
      </c>
      <c r="CM16">
        <v>1</v>
      </c>
      <c r="CO16">
        <v>1</v>
      </c>
      <c r="CR16">
        <v>1</v>
      </c>
      <c r="CT16">
        <v>3</v>
      </c>
      <c r="CV16">
        <v>1</v>
      </c>
      <c r="CY16">
        <v>5</v>
      </c>
      <c r="DA16">
        <v>1</v>
      </c>
      <c r="DC16">
        <v>1</v>
      </c>
      <c r="DJ16">
        <v>2</v>
      </c>
    </row>
    <row r="17" spans="2:114" x14ac:dyDescent="0.25">
      <c r="B17" s="7" t="s">
        <v>12</v>
      </c>
      <c r="C17" s="2">
        <f t="shared" si="13"/>
        <v>10</v>
      </c>
      <c r="D17" s="1">
        <v>425</v>
      </c>
      <c r="E17" s="1">
        <v>425</v>
      </c>
      <c r="F17" s="1">
        <v>425</v>
      </c>
      <c r="G17" s="1">
        <v>425</v>
      </c>
      <c r="H17" s="1">
        <v>425</v>
      </c>
      <c r="I17" s="1">
        <v>425</v>
      </c>
      <c r="J17" s="1">
        <v>425</v>
      </c>
      <c r="L17" s="3">
        <v>0.6</v>
      </c>
      <c r="M17" s="3"/>
      <c r="N17" s="3">
        <v>0.65</v>
      </c>
      <c r="O17" s="3"/>
      <c r="P17" s="3"/>
      <c r="Q17" s="3">
        <v>0.65</v>
      </c>
      <c r="R17" s="3"/>
      <c r="S17" s="3">
        <v>0.7</v>
      </c>
      <c r="T17" s="3"/>
      <c r="U17" s="3">
        <v>0.75</v>
      </c>
      <c r="V17" s="3"/>
      <c r="W17" s="3"/>
      <c r="X17" s="3">
        <v>0.75</v>
      </c>
      <c r="Y17" s="3"/>
      <c r="Z17" s="3">
        <v>0.8</v>
      </c>
      <c r="AA17" s="3"/>
      <c r="AB17" s="3">
        <v>0.85</v>
      </c>
      <c r="AC17" s="3"/>
      <c r="AD17" s="3"/>
      <c r="AE17" s="3">
        <v>0.85</v>
      </c>
      <c r="AF17" s="3"/>
      <c r="AG17" s="3">
        <v>0.9</v>
      </c>
      <c r="AH17" s="3"/>
      <c r="AI17" s="3">
        <v>0.9</v>
      </c>
      <c r="AJ17" s="3"/>
      <c r="AK17" s="3"/>
      <c r="AL17" s="3">
        <v>0.9</v>
      </c>
      <c r="AM17" s="3"/>
      <c r="AN17" s="3">
        <v>0.9</v>
      </c>
      <c r="AO17" s="3"/>
      <c r="AP17" s="3">
        <v>0.95</v>
      </c>
      <c r="AQ17" s="3"/>
      <c r="AR17" s="3"/>
      <c r="AS17" s="3"/>
      <c r="AT17" s="3"/>
      <c r="AU17" s="3"/>
      <c r="AV17">
        <v>4</v>
      </c>
      <c r="AX17">
        <v>3</v>
      </c>
      <c r="BA17">
        <v>3</v>
      </c>
      <c r="BC17">
        <v>4</v>
      </c>
      <c r="BE17">
        <v>3</v>
      </c>
      <c r="BH17">
        <v>3</v>
      </c>
      <c r="BJ17">
        <v>4</v>
      </c>
      <c r="BL17">
        <v>3</v>
      </c>
      <c r="BO17">
        <v>4</v>
      </c>
      <c r="BQ17">
        <v>3</v>
      </c>
      <c r="BS17">
        <v>3</v>
      </c>
      <c r="BV17">
        <v>5</v>
      </c>
      <c r="BX17">
        <v>4</v>
      </c>
      <c r="BZ17">
        <v>3</v>
      </c>
      <c r="CF17">
        <v>1</v>
      </c>
      <c r="CH17">
        <v>1</v>
      </c>
      <c r="CK17">
        <v>1</v>
      </c>
      <c r="CM17">
        <v>1</v>
      </c>
      <c r="CO17">
        <v>1</v>
      </c>
      <c r="CR17">
        <v>1</v>
      </c>
      <c r="CT17">
        <v>1</v>
      </c>
      <c r="CV17">
        <v>1</v>
      </c>
      <c r="CY17">
        <v>1</v>
      </c>
      <c r="DA17">
        <v>1</v>
      </c>
      <c r="DC17">
        <v>3</v>
      </c>
      <c r="DF17">
        <v>4</v>
      </c>
      <c r="DH17">
        <v>2</v>
      </c>
      <c r="DJ17">
        <v>1</v>
      </c>
    </row>
    <row r="18" spans="2:114" x14ac:dyDescent="0.25">
      <c r="B18" s="7" t="s">
        <v>12</v>
      </c>
      <c r="C18" s="2">
        <f t="shared" si="13"/>
        <v>11</v>
      </c>
      <c r="D18" s="1">
        <v>425</v>
      </c>
      <c r="E18" s="1">
        <v>425</v>
      </c>
      <c r="F18" s="1">
        <v>425</v>
      </c>
      <c r="G18" s="1">
        <v>425</v>
      </c>
      <c r="H18" s="1">
        <v>425</v>
      </c>
      <c r="I18" s="1">
        <v>425</v>
      </c>
      <c r="J18" s="1">
        <v>425</v>
      </c>
      <c r="L18" s="3">
        <v>0.6</v>
      </c>
      <c r="M18" s="3"/>
      <c r="N18" s="3">
        <v>0.6</v>
      </c>
      <c r="O18" s="3"/>
      <c r="P18" s="3"/>
      <c r="Q18" s="3">
        <v>0.65</v>
      </c>
      <c r="R18" s="3"/>
      <c r="S18" s="3">
        <v>0.7</v>
      </c>
      <c r="T18" s="3"/>
      <c r="U18" s="3">
        <v>0.7</v>
      </c>
      <c r="V18" s="3"/>
      <c r="W18" s="3"/>
      <c r="X18" s="3">
        <v>0.75</v>
      </c>
      <c r="Y18" s="3"/>
      <c r="Z18" s="3">
        <v>0.8</v>
      </c>
      <c r="AA18" s="3"/>
      <c r="AB18" s="3">
        <v>0.8</v>
      </c>
      <c r="AC18" s="3"/>
      <c r="AD18" s="3"/>
      <c r="AE18" s="3">
        <v>0.85</v>
      </c>
      <c r="AF18" s="3"/>
      <c r="AG18" s="3">
        <v>0.9</v>
      </c>
      <c r="AH18" s="3"/>
      <c r="AI18" s="3">
        <v>0.95</v>
      </c>
      <c r="AJ18" s="3"/>
      <c r="AK18" s="3"/>
      <c r="AL18" s="3">
        <v>0.95</v>
      </c>
      <c r="AM18" s="3"/>
      <c r="AN18" s="3"/>
      <c r="AO18" s="3"/>
      <c r="AP18" s="3"/>
      <c r="AQ18" s="3"/>
      <c r="AR18" s="3"/>
      <c r="AS18" s="3"/>
      <c r="AT18" s="3"/>
      <c r="AU18" s="3"/>
      <c r="AV18">
        <v>3</v>
      </c>
      <c r="AX18">
        <v>3</v>
      </c>
      <c r="BA18">
        <v>3</v>
      </c>
      <c r="BC18">
        <v>3</v>
      </c>
      <c r="BE18">
        <v>3</v>
      </c>
      <c r="BH18">
        <v>3</v>
      </c>
      <c r="BJ18">
        <v>3</v>
      </c>
      <c r="BL18">
        <v>3</v>
      </c>
      <c r="BO18">
        <v>3</v>
      </c>
      <c r="BQ18">
        <v>5</v>
      </c>
      <c r="BS18">
        <v>3</v>
      </c>
      <c r="BV18">
        <v>3</v>
      </c>
      <c r="CF18">
        <v>1</v>
      </c>
      <c r="CH18">
        <v>1</v>
      </c>
      <c r="CK18">
        <v>1</v>
      </c>
      <c r="CM18">
        <v>1</v>
      </c>
      <c r="CO18">
        <v>1</v>
      </c>
      <c r="CR18">
        <v>1</v>
      </c>
      <c r="CT18">
        <v>1</v>
      </c>
      <c r="CV18">
        <v>1</v>
      </c>
      <c r="CY18">
        <v>1</v>
      </c>
      <c r="DA18">
        <v>5</v>
      </c>
      <c r="DC18">
        <v>2</v>
      </c>
      <c r="DF18">
        <v>4</v>
      </c>
    </row>
    <row r="19" spans="2:114" x14ac:dyDescent="0.25">
      <c r="B19" s="7" t="s">
        <v>12</v>
      </c>
      <c r="C19" s="2">
        <f t="shared" si="13"/>
        <v>12</v>
      </c>
      <c r="D19" s="1">
        <v>425</v>
      </c>
      <c r="E19" s="1">
        <v>425</v>
      </c>
      <c r="F19" s="1">
        <v>425</v>
      </c>
      <c r="G19" s="1">
        <v>425</v>
      </c>
      <c r="H19" s="1">
        <v>425</v>
      </c>
      <c r="I19" s="1">
        <v>425</v>
      </c>
      <c r="J19" s="1">
        <v>425</v>
      </c>
      <c r="L19" s="3">
        <v>0.7</v>
      </c>
      <c r="M19" s="3"/>
      <c r="N19" s="3">
        <v>0.7</v>
      </c>
      <c r="O19" s="3"/>
      <c r="P19" s="3"/>
      <c r="Q19" s="3">
        <v>0.75</v>
      </c>
      <c r="R19" s="3"/>
      <c r="S19" s="3">
        <v>0.8</v>
      </c>
      <c r="T19" s="3"/>
      <c r="U19" s="3">
        <v>0.8</v>
      </c>
      <c r="V19" s="3"/>
      <c r="W19" s="3"/>
      <c r="X19" s="3">
        <v>0.9</v>
      </c>
      <c r="Y19" s="3"/>
      <c r="Z19" s="3">
        <v>0.9</v>
      </c>
      <c r="AA19" s="3"/>
      <c r="AB19" s="3">
        <v>0.95</v>
      </c>
      <c r="AC19" s="3"/>
      <c r="AD19" s="3"/>
      <c r="AE19" s="3">
        <v>0.95</v>
      </c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>
        <v>3</v>
      </c>
      <c r="AX19">
        <v>3</v>
      </c>
      <c r="BA19">
        <v>3</v>
      </c>
      <c r="BC19">
        <v>3</v>
      </c>
      <c r="BE19">
        <v>3</v>
      </c>
      <c r="BH19">
        <v>4</v>
      </c>
      <c r="BJ19">
        <v>5</v>
      </c>
      <c r="BL19">
        <v>3</v>
      </c>
      <c r="BO19">
        <v>4</v>
      </c>
      <c r="CF19">
        <v>1</v>
      </c>
      <c r="CH19">
        <v>1</v>
      </c>
      <c r="CK19">
        <v>1</v>
      </c>
      <c r="CM19">
        <v>1</v>
      </c>
      <c r="CO19">
        <v>1</v>
      </c>
      <c r="CR19">
        <v>1</v>
      </c>
      <c r="CT19">
        <v>5</v>
      </c>
      <c r="CV19">
        <v>4</v>
      </c>
      <c r="CY19">
        <v>3</v>
      </c>
      <c r="DF19">
        <v>3</v>
      </c>
    </row>
    <row r="20" spans="2:114" x14ac:dyDescent="0.25">
      <c r="B20" s="7" t="s">
        <v>13</v>
      </c>
      <c r="C20" s="2">
        <f t="shared" si="13"/>
        <v>13</v>
      </c>
      <c r="D20" s="1">
        <v>425</v>
      </c>
      <c r="E20" s="1">
        <v>425</v>
      </c>
      <c r="F20" s="1">
        <v>425</v>
      </c>
      <c r="G20" s="1">
        <v>425</v>
      </c>
      <c r="H20" s="1">
        <v>425</v>
      </c>
      <c r="I20" s="1">
        <v>425</v>
      </c>
      <c r="J20" s="1">
        <v>425</v>
      </c>
      <c r="L20" s="3">
        <v>0.7</v>
      </c>
      <c r="M20" s="3"/>
      <c r="N20" s="3">
        <v>0.75</v>
      </c>
      <c r="O20" s="3"/>
      <c r="P20" s="3"/>
      <c r="Q20" s="3"/>
      <c r="R20" s="3"/>
      <c r="S20" s="3">
        <v>0.8</v>
      </c>
      <c r="T20" s="3"/>
      <c r="U20" s="3">
        <v>0.85</v>
      </c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>
        <v>3</v>
      </c>
      <c r="AX20">
        <v>4</v>
      </c>
      <c r="BC20">
        <v>3</v>
      </c>
      <c r="BE20">
        <v>4</v>
      </c>
      <c r="BJ20">
        <v>5</v>
      </c>
      <c r="BQ20">
        <v>4</v>
      </c>
      <c r="CF20">
        <v>1</v>
      </c>
      <c r="CH20">
        <v>1</v>
      </c>
      <c r="CM20">
        <v>1</v>
      </c>
      <c r="CO20">
        <v>4</v>
      </c>
      <c r="CT20">
        <v>2</v>
      </c>
      <c r="DA20">
        <v>3</v>
      </c>
    </row>
    <row r="21" spans="2:114" x14ac:dyDescent="0.25">
      <c r="B21" s="7"/>
      <c r="C21" s="2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</row>
    <row r="22" spans="2:114" outlineLevel="1" x14ac:dyDescent="0.25">
      <c r="B22" s="7"/>
      <c r="C22" s="4" t="s">
        <v>7</v>
      </c>
      <c r="D22" s="4" t="s">
        <v>0</v>
      </c>
      <c r="E22" s="4" t="s">
        <v>1</v>
      </c>
      <c r="F22" s="4" t="s">
        <v>2</v>
      </c>
      <c r="G22" s="4" t="s">
        <v>3</v>
      </c>
      <c r="H22" s="4" t="s">
        <v>4</v>
      </c>
      <c r="I22" s="4" t="s">
        <v>5</v>
      </c>
      <c r="J22" s="4" t="s">
        <v>6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</row>
    <row r="23" spans="2:114" outlineLevel="1" x14ac:dyDescent="0.25">
      <c r="B23" s="16" t="s">
        <v>23</v>
      </c>
      <c r="C23" s="2">
        <v>1</v>
      </c>
      <c r="D23" s="15">
        <f>B3</f>
        <v>44008</v>
      </c>
      <c r="E23" s="15">
        <f>D23+1</f>
        <v>44009</v>
      </c>
      <c r="F23" s="15">
        <f t="shared" ref="F23:J23" si="15">E23+1</f>
        <v>44010</v>
      </c>
      <c r="G23" s="15">
        <f t="shared" si="15"/>
        <v>44011</v>
      </c>
      <c r="H23" s="15">
        <f t="shared" si="15"/>
        <v>44012</v>
      </c>
      <c r="I23" s="15">
        <f t="shared" si="15"/>
        <v>44013</v>
      </c>
      <c r="J23" s="15">
        <f t="shared" si="15"/>
        <v>44014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</row>
    <row r="24" spans="2:114" outlineLevel="1" x14ac:dyDescent="0.25">
      <c r="B24" s="7"/>
      <c r="C24" s="2">
        <f>C23+1</f>
        <v>2</v>
      </c>
      <c r="D24" s="15">
        <f>J23+1</f>
        <v>44015</v>
      </c>
      <c r="E24" s="15">
        <f t="shared" ref="E24:J35" si="16">D24+1</f>
        <v>44016</v>
      </c>
      <c r="F24" s="15">
        <f t="shared" si="16"/>
        <v>44017</v>
      </c>
      <c r="G24" s="15">
        <f t="shared" si="16"/>
        <v>44018</v>
      </c>
      <c r="H24" s="15">
        <f t="shared" si="16"/>
        <v>44019</v>
      </c>
      <c r="I24" s="15">
        <f t="shared" si="16"/>
        <v>44020</v>
      </c>
      <c r="J24" s="15">
        <f t="shared" si="16"/>
        <v>44021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</row>
    <row r="25" spans="2:114" outlineLevel="1" x14ac:dyDescent="0.25">
      <c r="B25" s="7"/>
      <c r="C25" s="2">
        <f t="shared" ref="C25:C35" si="17">C24+1</f>
        <v>3</v>
      </c>
      <c r="D25" s="15">
        <f t="shared" ref="D25:D35" si="18">J24+1</f>
        <v>44022</v>
      </c>
      <c r="E25" s="15">
        <f t="shared" si="16"/>
        <v>44023</v>
      </c>
      <c r="F25" s="15">
        <f t="shared" si="16"/>
        <v>44024</v>
      </c>
      <c r="G25" s="15">
        <f t="shared" si="16"/>
        <v>44025</v>
      </c>
      <c r="H25" s="15">
        <f t="shared" si="16"/>
        <v>44026</v>
      </c>
      <c r="I25" s="15">
        <f t="shared" si="16"/>
        <v>44027</v>
      </c>
      <c r="J25" s="15">
        <f t="shared" si="16"/>
        <v>44028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</row>
    <row r="26" spans="2:114" outlineLevel="1" x14ac:dyDescent="0.25">
      <c r="B26" s="7"/>
      <c r="C26" s="2">
        <f t="shared" si="17"/>
        <v>4</v>
      </c>
      <c r="D26" s="15">
        <f t="shared" si="18"/>
        <v>44029</v>
      </c>
      <c r="E26" s="15">
        <f t="shared" si="16"/>
        <v>44030</v>
      </c>
      <c r="F26" s="15">
        <f t="shared" si="16"/>
        <v>44031</v>
      </c>
      <c r="G26" s="15">
        <f t="shared" si="16"/>
        <v>44032</v>
      </c>
      <c r="H26" s="15">
        <f t="shared" si="16"/>
        <v>44033</v>
      </c>
      <c r="I26" s="15">
        <f t="shared" si="16"/>
        <v>44034</v>
      </c>
      <c r="J26" s="15">
        <f t="shared" si="16"/>
        <v>44035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</row>
    <row r="27" spans="2:114" outlineLevel="1" x14ac:dyDescent="0.25">
      <c r="B27" s="7"/>
      <c r="C27" s="2">
        <f t="shared" si="17"/>
        <v>5</v>
      </c>
      <c r="D27" s="15">
        <f t="shared" si="18"/>
        <v>44036</v>
      </c>
      <c r="E27" s="15">
        <f t="shared" si="16"/>
        <v>44037</v>
      </c>
      <c r="F27" s="15">
        <f t="shared" si="16"/>
        <v>44038</v>
      </c>
      <c r="G27" s="15">
        <f t="shared" si="16"/>
        <v>44039</v>
      </c>
      <c r="H27" s="15">
        <f t="shared" si="16"/>
        <v>44040</v>
      </c>
      <c r="I27" s="15">
        <f t="shared" si="16"/>
        <v>44041</v>
      </c>
      <c r="J27" s="15">
        <f t="shared" si="16"/>
        <v>44042</v>
      </c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</row>
    <row r="28" spans="2:114" outlineLevel="1" x14ac:dyDescent="0.25">
      <c r="B28" s="7"/>
      <c r="C28" s="2">
        <f t="shared" si="17"/>
        <v>6</v>
      </c>
      <c r="D28" s="15">
        <f t="shared" si="18"/>
        <v>44043</v>
      </c>
      <c r="E28" s="15">
        <f t="shared" si="16"/>
        <v>44044</v>
      </c>
      <c r="F28" s="15">
        <f t="shared" si="16"/>
        <v>44045</v>
      </c>
      <c r="G28" s="15">
        <f t="shared" si="16"/>
        <v>44046</v>
      </c>
      <c r="H28" s="15">
        <f t="shared" si="16"/>
        <v>44047</v>
      </c>
      <c r="I28" s="15">
        <f t="shared" si="16"/>
        <v>44048</v>
      </c>
      <c r="J28" s="15">
        <f t="shared" si="16"/>
        <v>44049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</row>
    <row r="29" spans="2:114" outlineLevel="1" x14ac:dyDescent="0.25">
      <c r="B29" s="7"/>
      <c r="C29" s="2">
        <f t="shared" si="17"/>
        <v>7</v>
      </c>
      <c r="D29" s="15">
        <f t="shared" si="18"/>
        <v>44050</v>
      </c>
      <c r="E29" s="15">
        <f t="shared" si="16"/>
        <v>44051</v>
      </c>
      <c r="F29" s="15">
        <f t="shared" si="16"/>
        <v>44052</v>
      </c>
      <c r="G29" s="15">
        <f t="shared" si="16"/>
        <v>44053</v>
      </c>
      <c r="H29" s="15">
        <f t="shared" si="16"/>
        <v>44054</v>
      </c>
      <c r="I29" s="15">
        <f t="shared" si="16"/>
        <v>44055</v>
      </c>
      <c r="J29" s="15">
        <f t="shared" si="16"/>
        <v>44056</v>
      </c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</row>
    <row r="30" spans="2:114" outlineLevel="1" x14ac:dyDescent="0.25">
      <c r="B30" s="7"/>
      <c r="C30" s="2">
        <f t="shared" si="17"/>
        <v>8</v>
      </c>
      <c r="D30" s="15">
        <f t="shared" si="18"/>
        <v>44057</v>
      </c>
      <c r="E30" s="15">
        <f t="shared" si="16"/>
        <v>44058</v>
      </c>
      <c r="F30" s="15">
        <f t="shared" si="16"/>
        <v>44059</v>
      </c>
      <c r="G30" s="15">
        <f t="shared" si="16"/>
        <v>44060</v>
      </c>
      <c r="H30" s="15">
        <f t="shared" si="16"/>
        <v>44061</v>
      </c>
      <c r="I30" s="15">
        <f t="shared" si="16"/>
        <v>44062</v>
      </c>
      <c r="J30" s="15">
        <f t="shared" si="16"/>
        <v>44063</v>
      </c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</row>
    <row r="31" spans="2:114" outlineLevel="1" x14ac:dyDescent="0.25">
      <c r="B31" s="7"/>
      <c r="C31" s="2">
        <f t="shared" si="17"/>
        <v>9</v>
      </c>
      <c r="D31" s="15">
        <f t="shared" si="18"/>
        <v>44064</v>
      </c>
      <c r="E31" s="15">
        <f t="shared" si="16"/>
        <v>44065</v>
      </c>
      <c r="F31" s="15">
        <f t="shared" si="16"/>
        <v>44066</v>
      </c>
      <c r="G31" s="15">
        <f t="shared" si="16"/>
        <v>44067</v>
      </c>
      <c r="H31" s="15">
        <f t="shared" si="16"/>
        <v>44068</v>
      </c>
      <c r="I31" s="15">
        <f t="shared" si="16"/>
        <v>44069</v>
      </c>
      <c r="J31" s="15">
        <f t="shared" si="16"/>
        <v>44070</v>
      </c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</row>
    <row r="32" spans="2:114" outlineLevel="1" x14ac:dyDescent="0.25">
      <c r="B32" s="7"/>
      <c r="C32" s="2">
        <f t="shared" si="17"/>
        <v>10</v>
      </c>
      <c r="D32" s="15">
        <f t="shared" si="18"/>
        <v>44071</v>
      </c>
      <c r="E32" s="15">
        <f t="shared" si="16"/>
        <v>44072</v>
      </c>
      <c r="F32" s="15">
        <f t="shared" si="16"/>
        <v>44073</v>
      </c>
      <c r="G32" s="15">
        <f t="shared" si="16"/>
        <v>44074</v>
      </c>
      <c r="H32" s="15">
        <f t="shared" si="16"/>
        <v>44075</v>
      </c>
      <c r="I32" s="15">
        <f t="shared" si="16"/>
        <v>44076</v>
      </c>
      <c r="J32" s="15">
        <f t="shared" si="16"/>
        <v>44077</v>
      </c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</row>
    <row r="33" spans="2:47" outlineLevel="1" x14ac:dyDescent="0.25">
      <c r="B33" s="7"/>
      <c r="C33" s="2">
        <f t="shared" si="17"/>
        <v>11</v>
      </c>
      <c r="D33" s="15">
        <f t="shared" si="18"/>
        <v>44078</v>
      </c>
      <c r="E33" s="15">
        <f t="shared" si="16"/>
        <v>44079</v>
      </c>
      <c r="F33" s="15">
        <f t="shared" si="16"/>
        <v>44080</v>
      </c>
      <c r="G33" s="15">
        <f t="shared" si="16"/>
        <v>44081</v>
      </c>
      <c r="H33" s="15">
        <f t="shared" si="16"/>
        <v>44082</v>
      </c>
      <c r="I33" s="15">
        <f t="shared" si="16"/>
        <v>44083</v>
      </c>
      <c r="J33" s="15">
        <f t="shared" si="16"/>
        <v>44084</v>
      </c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</row>
    <row r="34" spans="2:47" outlineLevel="1" x14ac:dyDescent="0.25">
      <c r="B34" s="7"/>
      <c r="C34" s="2">
        <f t="shared" si="17"/>
        <v>12</v>
      </c>
      <c r="D34" s="17">
        <f t="shared" si="18"/>
        <v>44085</v>
      </c>
      <c r="E34" s="17">
        <f t="shared" si="16"/>
        <v>44086</v>
      </c>
      <c r="F34" s="17">
        <f t="shared" si="16"/>
        <v>44087</v>
      </c>
      <c r="G34" s="17">
        <f t="shared" si="16"/>
        <v>44088</v>
      </c>
      <c r="H34" s="17">
        <f t="shared" si="16"/>
        <v>44089</v>
      </c>
      <c r="I34" s="15">
        <f t="shared" si="16"/>
        <v>44090</v>
      </c>
      <c r="J34" s="15">
        <f t="shared" si="16"/>
        <v>44091</v>
      </c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</row>
    <row r="35" spans="2:47" outlineLevel="1" x14ac:dyDescent="0.25">
      <c r="B35" s="7"/>
      <c r="C35" s="2">
        <f t="shared" si="17"/>
        <v>13</v>
      </c>
      <c r="D35" s="15">
        <f t="shared" si="18"/>
        <v>44092</v>
      </c>
      <c r="E35" s="15">
        <f t="shared" si="16"/>
        <v>44093</v>
      </c>
      <c r="F35" s="15">
        <f t="shared" si="16"/>
        <v>44094</v>
      </c>
      <c r="G35" s="15">
        <f t="shared" si="16"/>
        <v>44095</v>
      </c>
      <c r="H35" s="15">
        <f t="shared" si="16"/>
        <v>44096</v>
      </c>
      <c r="I35" s="15">
        <f t="shared" si="16"/>
        <v>44097</v>
      </c>
      <c r="J35" s="15">
        <f t="shared" si="16"/>
        <v>44098</v>
      </c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</row>
    <row r="36" spans="2:47" x14ac:dyDescent="0.25">
      <c r="C36" s="2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</row>
    <row r="37" spans="2:47" hidden="1" outlineLevel="1" x14ac:dyDescent="0.25">
      <c r="C37" s="2">
        <f t="shared" ref="C37:C49" si="19">C8</f>
        <v>1</v>
      </c>
      <c r="D37">
        <f t="shared" ref="D37:D49" si="20">COUNTA(L8,S8,Z8,AG8,AN8)</f>
        <v>4</v>
      </c>
      <c r="E37">
        <f t="shared" ref="E37:J37" si="21">COUNTA(M8,T8,AA8,AH8,AO8)</f>
        <v>4</v>
      </c>
      <c r="F37">
        <f t="shared" si="21"/>
        <v>4</v>
      </c>
      <c r="G37">
        <f t="shared" si="21"/>
        <v>0</v>
      </c>
      <c r="H37">
        <f t="shared" si="21"/>
        <v>0</v>
      </c>
      <c r="I37">
        <f t="shared" si="21"/>
        <v>0</v>
      </c>
      <c r="J37">
        <f t="shared" si="21"/>
        <v>0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</row>
    <row r="38" spans="2:47" hidden="1" outlineLevel="1" x14ac:dyDescent="0.25">
      <c r="C38" s="2">
        <f t="shared" si="19"/>
        <v>2</v>
      </c>
      <c r="D38">
        <f t="shared" si="20"/>
        <v>1</v>
      </c>
      <c r="E38">
        <f t="shared" ref="E38:E49" si="22">COUNTA(M9,T9,AA9,AH9,AO9)</f>
        <v>0</v>
      </c>
      <c r="F38">
        <f t="shared" ref="F38:F49" si="23">COUNTA(N9,U9,AB9,AI9,AP9)</f>
        <v>1</v>
      </c>
      <c r="G38">
        <f t="shared" ref="G38:G49" si="24">COUNTA(O9,V9,AC9,AJ9,AQ9)</f>
        <v>0</v>
      </c>
      <c r="H38">
        <f t="shared" ref="H38:H49" si="25">COUNTA(P9,W9,AD9,AK9,AR9)</f>
        <v>1</v>
      </c>
      <c r="I38">
        <f t="shared" ref="I38:I49" si="26">COUNTA(Q9,X9,AE9,AL9,AS9)</f>
        <v>0</v>
      </c>
      <c r="J38">
        <f t="shared" ref="J38:J49" si="27">COUNTA(R9,Y9,AF9,AM9,AT9)</f>
        <v>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</row>
    <row r="39" spans="2:47" hidden="1" outlineLevel="1" x14ac:dyDescent="0.25">
      <c r="C39" s="2">
        <f t="shared" si="19"/>
        <v>3</v>
      </c>
      <c r="D39">
        <f t="shared" si="20"/>
        <v>1</v>
      </c>
      <c r="E39">
        <f t="shared" si="22"/>
        <v>0</v>
      </c>
      <c r="F39">
        <f t="shared" si="23"/>
        <v>1</v>
      </c>
      <c r="G39">
        <f t="shared" si="24"/>
        <v>0</v>
      </c>
      <c r="H39">
        <f t="shared" si="25"/>
        <v>1</v>
      </c>
      <c r="I39">
        <f t="shared" si="26"/>
        <v>1</v>
      </c>
      <c r="J39">
        <f t="shared" si="27"/>
        <v>0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</row>
    <row r="40" spans="2:47" hidden="1" outlineLevel="1" x14ac:dyDescent="0.25">
      <c r="C40" s="2">
        <f t="shared" si="19"/>
        <v>4</v>
      </c>
      <c r="D40">
        <f t="shared" si="20"/>
        <v>1</v>
      </c>
      <c r="E40">
        <f t="shared" si="22"/>
        <v>0</v>
      </c>
      <c r="F40">
        <f t="shared" si="23"/>
        <v>1</v>
      </c>
      <c r="G40">
        <f t="shared" si="24"/>
        <v>0</v>
      </c>
      <c r="H40">
        <f t="shared" si="25"/>
        <v>1</v>
      </c>
      <c r="I40">
        <f t="shared" si="26"/>
        <v>1</v>
      </c>
      <c r="J40">
        <f t="shared" si="27"/>
        <v>0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</row>
    <row r="41" spans="2:47" hidden="1" outlineLevel="1" x14ac:dyDescent="0.25">
      <c r="C41" s="2">
        <f t="shared" si="19"/>
        <v>5</v>
      </c>
      <c r="D41">
        <f t="shared" si="20"/>
        <v>1</v>
      </c>
      <c r="E41">
        <f t="shared" si="22"/>
        <v>0</v>
      </c>
      <c r="F41">
        <f t="shared" si="23"/>
        <v>1</v>
      </c>
      <c r="G41">
        <f t="shared" si="24"/>
        <v>0</v>
      </c>
      <c r="H41">
        <f t="shared" si="25"/>
        <v>1</v>
      </c>
      <c r="I41">
        <f t="shared" si="26"/>
        <v>1</v>
      </c>
      <c r="J41">
        <f t="shared" si="27"/>
        <v>0</v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</row>
    <row r="42" spans="2:47" hidden="1" outlineLevel="1" x14ac:dyDescent="0.25">
      <c r="C42" s="2">
        <f t="shared" si="19"/>
        <v>6</v>
      </c>
      <c r="D42">
        <f t="shared" si="20"/>
        <v>0</v>
      </c>
      <c r="E42">
        <f t="shared" si="22"/>
        <v>0</v>
      </c>
      <c r="F42">
        <f t="shared" si="23"/>
        <v>0</v>
      </c>
      <c r="G42">
        <f t="shared" si="24"/>
        <v>0</v>
      </c>
      <c r="H42">
        <f t="shared" si="25"/>
        <v>0</v>
      </c>
      <c r="I42">
        <f t="shared" si="26"/>
        <v>0</v>
      </c>
      <c r="J42">
        <f t="shared" si="27"/>
        <v>0</v>
      </c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</row>
    <row r="43" spans="2:47" hidden="1" outlineLevel="1" x14ac:dyDescent="0.25">
      <c r="C43" s="2">
        <f t="shared" si="19"/>
        <v>7</v>
      </c>
      <c r="D43">
        <f t="shared" si="20"/>
        <v>0</v>
      </c>
      <c r="E43">
        <f t="shared" si="22"/>
        <v>0</v>
      </c>
      <c r="F43">
        <f t="shared" si="23"/>
        <v>0</v>
      </c>
      <c r="G43">
        <f t="shared" si="24"/>
        <v>0</v>
      </c>
      <c r="H43">
        <f t="shared" si="25"/>
        <v>0</v>
      </c>
      <c r="I43">
        <f t="shared" si="26"/>
        <v>0</v>
      </c>
      <c r="J43">
        <f t="shared" si="27"/>
        <v>0</v>
      </c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</row>
    <row r="44" spans="2:47" hidden="1" outlineLevel="1" x14ac:dyDescent="0.25">
      <c r="C44" s="2">
        <f t="shared" si="19"/>
        <v>8</v>
      </c>
      <c r="D44">
        <f t="shared" si="20"/>
        <v>0</v>
      </c>
      <c r="E44">
        <f t="shared" si="22"/>
        <v>0</v>
      </c>
      <c r="F44">
        <f t="shared" si="23"/>
        <v>0</v>
      </c>
      <c r="G44">
        <f t="shared" si="24"/>
        <v>0</v>
      </c>
      <c r="H44">
        <f t="shared" si="25"/>
        <v>0</v>
      </c>
      <c r="I44">
        <f t="shared" si="26"/>
        <v>0</v>
      </c>
      <c r="J44">
        <f t="shared" si="27"/>
        <v>0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</row>
    <row r="45" spans="2:47" hidden="1" outlineLevel="1" x14ac:dyDescent="0.25">
      <c r="C45" s="2">
        <f t="shared" si="19"/>
        <v>9</v>
      </c>
      <c r="D45">
        <f t="shared" si="20"/>
        <v>4</v>
      </c>
      <c r="E45">
        <f t="shared" si="22"/>
        <v>0</v>
      </c>
      <c r="F45">
        <f t="shared" si="23"/>
        <v>5</v>
      </c>
      <c r="G45">
        <f t="shared" si="24"/>
        <v>0</v>
      </c>
      <c r="H45">
        <f t="shared" si="25"/>
        <v>0</v>
      </c>
      <c r="I45">
        <f t="shared" si="26"/>
        <v>3</v>
      </c>
      <c r="J45">
        <f t="shared" si="27"/>
        <v>0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</row>
    <row r="46" spans="2:47" hidden="1" outlineLevel="1" x14ac:dyDescent="0.25">
      <c r="C46" s="2">
        <f t="shared" si="19"/>
        <v>10</v>
      </c>
      <c r="D46">
        <f t="shared" si="20"/>
        <v>5</v>
      </c>
      <c r="E46">
        <f t="shared" si="22"/>
        <v>0</v>
      </c>
      <c r="F46">
        <f t="shared" si="23"/>
        <v>5</v>
      </c>
      <c r="G46">
        <f t="shared" si="24"/>
        <v>0</v>
      </c>
      <c r="H46">
        <f t="shared" si="25"/>
        <v>0</v>
      </c>
      <c r="I46">
        <f t="shared" si="26"/>
        <v>4</v>
      </c>
      <c r="J46">
        <f t="shared" si="27"/>
        <v>0</v>
      </c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</row>
    <row r="47" spans="2:47" hidden="1" outlineLevel="1" x14ac:dyDescent="0.25">
      <c r="C47" s="2">
        <f t="shared" si="19"/>
        <v>11</v>
      </c>
      <c r="D47">
        <f t="shared" si="20"/>
        <v>4</v>
      </c>
      <c r="E47">
        <f t="shared" si="22"/>
        <v>0</v>
      </c>
      <c r="F47">
        <f t="shared" si="23"/>
        <v>4</v>
      </c>
      <c r="G47">
        <f t="shared" si="24"/>
        <v>0</v>
      </c>
      <c r="H47">
        <f t="shared" si="25"/>
        <v>0</v>
      </c>
      <c r="I47">
        <f t="shared" si="26"/>
        <v>4</v>
      </c>
      <c r="J47">
        <f t="shared" si="27"/>
        <v>0</v>
      </c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</row>
    <row r="48" spans="2:47" hidden="1" outlineLevel="1" x14ac:dyDescent="0.25">
      <c r="C48" s="2">
        <f t="shared" si="19"/>
        <v>12</v>
      </c>
      <c r="D48">
        <f t="shared" si="20"/>
        <v>3</v>
      </c>
      <c r="E48">
        <f t="shared" si="22"/>
        <v>0</v>
      </c>
      <c r="F48">
        <f t="shared" si="23"/>
        <v>3</v>
      </c>
      <c r="G48">
        <f t="shared" si="24"/>
        <v>0</v>
      </c>
      <c r="H48">
        <f t="shared" si="25"/>
        <v>0</v>
      </c>
      <c r="I48">
        <f t="shared" si="26"/>
        <v>3</v>
      </c>
      <c r="J48">
        <f t="shared" si="27"/>
        <v>0</v>
      </c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</row>
    <row r="49" spans="2:47" hidden="1" outlineLevel="1" x14ac:dyDescent="0.25">
      <c r="C49" s="2">
        <f t="shared" si="19"/>
        <v>13</v>
      </c>
      <c r="D49">
        <f t="shared" si="20"/>
        <v>2</v>
      </c>
      <c r="E49">
        <f t="shared" si="22"/>
        <v>0</v>
      </c>
      <c r="F49">
        <f t="shared" si="23"/>
        <v>2</v>
      </c>
      <c r="G49">
        <f t="shared" si="24"/>
        <v>0</v>
      </c>
      <c r="H49">
        <f t="shared" si="25"/>
        <v>0</v>
      </c>
      <c r="I49">
        <f t="shared" si="26"/>
        <v>0</v>
      </c>
      <c r="J49">
        <f t="shared" si="27"/>
        <v>0</v>
      </c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</row>
    <row r="50" spans="2:47" collapsed="1" x14ac:dyDescent="0.25">
      <c r="C50" s="2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</row>
    <row r="51" spans="2:47" x14ac:dyDescent="0.25">
      <c r="D51" s="6" t="s">
        <v>24</v>
      </c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</row>
    <row r="52" spans="2:47" x14ac:dyDescent="0.25">
      <c r="B52" s="9" t="s">
        <v>8</v>
      </c>
      <c r="C52" s="9" t="s">
        <v>7</v>
      </c>
      <c r="D52" s="9" t="s">
        <v>0</v>
      </c>
      <c r="E52" s="9" t="s">
        <v>1</v>
      </c>
      <c r="F52" s="9" t="s">
        <v>2</v>
      </c>
      <c r="G52" s="9" t="s">
        <v>3</v>
      </c>
      <c r="H52" s="9" t="s">
        <v>4</v>
      </c>
      <c r="I52" s="9" t="s">
        <v>5</v>
      </c>
      <c r="J52" s="9" t="s">
        <v>6</v>
      </c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</row>
    <row r="53" spans="2:47" ht="60" x14ac:dyDescent="0.25">
      <c r="B53" s="14" t="s">
        <v>9</v>
      </c>
      <c r="C53" s="14">
        <f t="shared" ref="C53:C65" si="28">C8</f>
        <v>1</v>
      </c>
      <c r="D53" s="10" t="str">
        <f>IF(D37=0,
"",
IF(D37=1,
ROUND(D8*L8,0)&amp;"x"&amp;AV8&amp;"x"&amp;CF8,
IF(D37=2,
ROUND(D8*L8,0)&amp;"x"&amp;AV8&amp;"x"&amp;CF8&amp;CHAR(10)&amp;ROUND(D8*S8,0)&amp;"x"&amp;BC8&amp;"x"&amp;CM8,
IF(D37=3,
ROUND(D8*L8,0)&amp;"x"&amp;AV8&amp;"x"&amp;CF8&amp;CHAR(10)&amp;ROUND(D8*S8,0)&amp;"x"&amp;BC8&amp;"x"&amp;CM8&amp;CHAR(10)&amp;ROUND(D8*Z8,0)&amp;"x"&amp;BJ8&amp;"x"&amp;CT8,
IF(D37=4,
ROUND(D8*L8,0)&amp;"x"&amp;AV8&amp;"x"&amp;CF8&amp;CHAR(10)&amp;ROUND(D8*S8,0)&amp;"x"&amp;BC8&amp;"x"&amp;CM8&amp;CHAR(10)&amp;ROUND(D8*Z8,0)&amp;"x"&amp;BJ8&amp;"x"&amp;CT8&amp;CHAR(10)&amp;ROUND(D8*AG8,0)&amp;"x"&amp;BQ8&amp;"x"&amp;DA8,
ROUND(D8*L8,0)&amp;"x"&amp;AV8&amp;"x"&amp;CF8&amp;CHAR(10)&amp;ROUND(D8*S8,0)&amp;"x"&amp;BC8&amp;"x"&amp;CM8&amp;CHAR(10)&amp;ROUND(D8*Z8,0)&amp;"x"&amp;BJ8&amp;"x"&amp;CT8&amp;CHAR(10)&amp;ROUND(D8*AG8,0)&amp;"x"&amp;BQ8&amp;"x"&amp;DA8&amp;CHAR(10)&amp;ROUND(D8*AN8,0)&amp;"x"&amp;BX8&amp;"x"&amp;DH8
)))))</f>
        <v>257x8x3
277x5x1
296x2x2
316x1x1</v>
      </c>
      <c r="E53" s="10" t="str">
        <f t="shared" ref="E53:J53" si="29">IF(E37=0,
"",
IF(E37=1,
ROUND(E8*M8,0)&amp;"x"&amp;AW8&amp;"x"&amp;CG8,
IF(E37=2,
ROUND(E8*M8,0)&amp;"x"&amp;AW8&amp;"x"&amp;CG8&amp;CHAR(10)&amp;ROUND(E8*T8,0)&amp;"x"&amp;BD8&amp;"x"&amp;CN8,
IF(E37=3,
ROUND(E8*M8,0)&amp;"x"&amp;AW8&amp;"x"&amp;CG8&amp;CHAR(10)&amp;ROUND(E8*T8,0)&amp;"x"&amp;BD8&amp;"x"&amp;CN8&amp;CHAR(10)&amp;ROUND(E8*AA8,0)&amp;"x"&amp;BK8&amp;"x"&amp;CU8,
IF(E37=4,
ROUND(E8*M8,0)&amp;"x"&amp;AW8&amp;"x"&amp;CG8&amp;CHAR(10)&amp;ROUND(E8*T8,0)&amp;"x"&amp;BD8&amp;"x"&amp;CN8&amp;CHAR(10)&amp;ROUND(E8*AA8,0)&amp;"x"&amp;BK8&amp;"x"&amp;CU8&amp;CHAR(10)&amp;ROUND(E8*AH8,0)&amp;"x"&amp;BR8&amp;"x"&amp;DB8,
ROUND(E8*M8,0)&amp;"x"&amp;AW8&amp;"x"&amp;CG8&amp;CHAR(10)&amp;ROUND(E8*T8,0)&amp;"x"&amp;BD8&amp;"x"&amp;CN8&amp;CHAR(10)&amp;ROUND(E8*AA8,0)&amp;"x"&amp;BK8&amp;"x"&amp;CU8&amp;CHAR(10)&amp;ROUND(E8*AH8,0)&amp;"x"&amp;BR8&amp;"x"&amp;DB8&amp;CHAR(10)&amp;ROUND(E8*AO8,0)&amp;"x"&amp;BY8&amp;"x"&amp;DI8
)))))</f>
        <v>257x8x3
277x5x1
296x2x2
316x1x1</v>
      </c>
      <c r="F53" s="10" t="str">
        <f t="shared" si="29"/>
        <v>277x5x4
296x3x1
316x2x2
356x1x1</v>
      </c>
      <c r="G53" s="10" t="str">
        <f t="shared" si="29"/>
        <v/>
      </c>
      <c r="H53" s="10" t="str">
        <f t="shared" si="29"/>
        <v/>
      </c>
      <c r="I53" s="10" t="str">
        <f t="shared" si="29"/>
        <v/>
      </c>
      <c r="J53" s="10" t="str">
        <f t="shared" si="29"/>
        <v/>
      </c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</row>
    <row r="54" spans="2:47" x14ac:dyDescent="0.25">
      <c r="B54" s="14" t="s">
        <v>9</v>
      </c>
      <c r="C54" s="14">
        <f t="shared" si="28"/>
        <v>2</v>
      </c>
      <c r="D54" s="10" t="str">
        <f>IF(D38=0,
"",
IF(D38=1,
ROUND(D9*L9,0)&amp;"x"&amp;AV9&amp;"x"&amp;CF9,
IF(D38=2,
ROUND(D9*L9,0)&amp;"x"&amp;AV9&amp;"x"&amp;CF9&amp;CHAR(10)&amp;ROUND(D9*S9,0)&amp;"x"&amp;BC9&amp;"x"&amp;CM9,
IF(D38=3,
ROUND(D9*L9,0)&amp;"x"&amp;AV9&amp;"x"&amp;CF9&amp;CHAR(10)&amp;ROUND(D9*S9,0)&amp;"x"&amp;BC9&amp;"x"&amp;CM9&amp;CHAR(10)&amp;ROUND(D9*Z9,0)&amp;"x"&amp;BJ9&amp;"x"&amp;CT9,
IF(D38=4,
ROUND(D9*L9,0)&amp;"x"&amp;AV9&amp;"x"&amp;CF9&amp;CHAR(10)&amp;ROUND(D9*S9,0)&amp;"x"&amp;BC9&amp;"x"&amp;CM9&amp;CHAR(10)&amp;ROUND(D9*Z9,0)&amp;"x"&amp;BJ9&amp;"x"&amp;CT9&amp;CHAR(10)&amp;ROUND(D9*AG9,0)&amp;"x"&amp;BQ9&amp;"x"&amp;DA9,
ROUND(D9*L9,0)&amp;"x"&amp;AV9&amp;"x"&amp;CF9&amp;CHAR(10)&amp;ROUND(D9*S9,0)&amp;"x"&amp;BC9&amp;"x"&amp;CM9&amp;CHAR(10)&amp;ROUND(D9*Z9,0)&amp;"x"&amp;BJ9&amp;"x"&amp;CT9&amp;CHAR(10)&amp;ROUND(D9*AG9,0)&amp;"x"&amp;BQ9&amp;"x"&amp;DA9&amp;CHAR(10)&amp;ROUND(D9*AN9,0)&amp;"x"&amp;BX9&amp;"x"&amp;DH9
)))))</f>
        <v>316x5x1</v>
      </c>
      <c r="E54" s="10" t="str">
        <f t="shared" ref="E54:J57" si="30">IF(E38=0,
"",
IF(E38=1,
ROUND(E9*M9,0)&amp;"x"&amp;AW9&amp;"x"&amp;CG9,
IF(E38=2,
ROUND(E9*M9,0)&amp;"x"&amp;AW9&amp;"x"&amp;CG9&amp;CHAR(10)&amp;ROUND(E9*T9,0)&amp;"x"&amp;BD9&amp;"x"&amp;CN9,
IF(E38=3,
ROUND(E9*M9,0)&amp;"x"&amp;AW9&amp;"x"&amp;CG9&amp;CHAR(10)&amp;ROUND(E9*T9,0)&amp;"x"&amp;BD9&amp;"x"&amp;CN9&amp;CHAR(10)&amp;ROUND(E9*AA9,0)&amp;"x"&amp;BK9&amp;"x"&amp;CU9,
IF(E38=4,
ROUND(E9*M9,0)&amp;"x"&amp;AW9&amp;"x"&amp;CG9&amp;CHAR(10)&amp;ROUND(E9*T9,0)&amp;"x"&amp;BD9&amp;"x"&amp;CN9&amp;CHAR(10)&amp;ROUND(E9*AA9,0)&amp;"x"&amp;BK9&amp;"x"&amp;CU9&amp;CHAR(10)&amp;ROUND(E9*AH9,0)&amp;"x"&amp;BR9&amp;"x"&amp;DB9,
ROUND(E9*M9,0)&amp;"x"&amp;AW9&amp;"x"&amp;CG9&amp;CHAR(10)&amp;ROUND(E9*T9,0)&amp;"x"&amp;BD9&amp;"x"&amp;CN9&amp;CHAR(10)&amp;ROUND(E9*AA9,0)&amp;"x"&amp;BK9&amp;"x"&amp;CU9&amp;CHAR(10)&amp;ROUND(E9*AH9,0)&amp;"x"&amp;BR9&amp;"x"&amp;DB9&amp;CHAR(10)&amp;ROUND(E9*AO9,0)&amp;"x"&amp;BY9&amp;"x"&amp;DI9
)))))</f>
        <v/>
      </c>
      <c r="F54" s="10" t="str">
        <f t="shared" si="30"/>
        <v>326x5x1</v>
      </c>
      <c r="G54" s="10" t="str">
        <f t="shared" si="30"/>
        <v/>
      </c>
      <c r="H54" s="10" t="str">
        <f t="shared" si="30"/>
        <v>336x5x1</v>
      </c>
      <c r="I54" s="10" t="str">
        <f t="shared" si="30"/>
        <v/>
      </c>
      <c r="J54" s="10" t="str">
        <f t="shared" si="30"/>
        <v/>
      </c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</row>
    <row r="55" spans="2:47" x14ac:dyDescent="0.25">
      <c r="B55" s="14" t="s">
        <v>10</v>
      </c>
      <c r="C55" s="14">
        <f t="shared" si="28"/>
        <v>3</v>
      </c>
      <c r="D55" s="10" t="str">
        <f>IF(D39=0,
"",
IF(D39=1,
ROUND(D10*L10,0)&amp;"x"&amp;AV10&amp;"x"&amp;CF10,
IF(D39=2,
ROUND(D10*L10,0)&amp;"x"&amp;AV10&amp;"x"&amp;CF10&amp;CHAR(10)&amp;ROUND(D10*S10,0)&amp;"x"&amp;BC10&amp;"x"&amp;CM10,
IF(D39=3,
ROUND(D10*L10,0)&amp;"x"&amp;AV10&amp;"x"&amp;CF10&amp;CHAR(10)&amp;ROUND(D10*S10,0)&amp;"x"&amp;BC10&amp;"x"&amp;CM10&amp;CHAR(10)&amp;ROUND(D10*Z10,0)&amp;"x"&amp;BJ10&amp;"x"&amp;CT10,
IF(D39=4,
ROUND(D10*L10,0)&amp;"x"&amp;AV10&amp;"x"&amp;CF10&amp;CHAR(10)&amp;ROUND(D10*S10,0)&amp;"x"&amp;BC10&amp;"x"&amp;CM10&amp;CHAR(10)&amp;ROUND(D10*Z10,0)&amp;"x"&amp;BJ10&amp;"x"&amp;CT10&amp;CHAR(10)&amp;ROUND(D10*AG10,0)&amp;"x"&amp;BQ10&amp;"x"&amp;DA10,
ROUND(D10*L10,0)&amp;"x"&amp;AV10&amp;"x"&amp;CF10&amp;CHAR(10)&amp;ROUND(D10*S10,0)&amp;"x"&amp;BC10&amp;"x"&amp;CM10&amp;CHAR(10)&amp;ROUND(D10*Z10,0)&amp;"x"&amp;BJ10&amp;"x"&amp;CT10&amp;CHAR(10)&amp;ROUND(D10*AG10,0)&amp;"x"&amp;BQ10&amp;"x"&amp;DA10&amp;CHAR(10)&amp;ROUND(D10*AN10,0)&amp;"x"&amp;BX10&amp;"x"&amp;DH10
)))))</f>
        <v>284x9x4</v>
      </c>
      <c r="E55" s="10" t="str">
        <f t="shared" si="30"/>
        <v/>
      </c>
      <c r="F55" s="10" t="str">
        <f t="shared" si="30"/>
        <v>304x7x5</v>
      </c>
      <c r="G55" s="10" t="str">
        <f t="shared" si="30"/>
        <v/>
      </c>
      <c r="H55" s="10" t="str">
        <f t="shared" si="30"/>
        <v>324x5x7</v>
      </c>
      <c r="I55" s="10" t="str">
        <f t="shared" si="30"/>
        <v>344x3x10</v>
      </c>
      <c r="J55" s="10" t="str">
        <f t="shared" si="30"/>
        <v/>
      </c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</row>
    <row r="56" spans="2:47" x14ac:dyDescent="0.25">
      <c r="B56" s="14" t="s">
        <v>10</v>
      </c>
      <c r="C56" s="14">
        <f t="shared" si="28"/>
        <v>4</v>
      </c>
      <c r="D56" s="10" t="str">
        <f>IF(D40=0,
"",
IF(D40=1,
ROUND(D11*L11,0)&amp;"x"&amp;AV11&amp;"x"&amp;CF11,
IF(D40=2,
ROUND(D11*L11,0)&amp;"x"&amp;AV11&amp;"x"&amp;CF11&amp;CHAR(10)&amp;ROUND(D11*S11,0)&amp;"x"&amp;BC11&amp;"x"&amp;CM11,
IF(D40=3,
ROUND(D11*L11,0)&amp;"x"&amp;AV11&amp;"x"&amp;CF11&amp;CHAR(10)&amp;ROUND(D11*S11,0)&amp;"x"&amp;BC11&amp;"x"&amp;CM11&amp;CHAR(10)&amp;ROUND(D11*Z11,0)&amp;"x"&amp;BJ11&amp;"x"&amp;CT11,
IF(D40=4,
ROUND(D11*L11,0)&amp;"x"&amp;AV11&amp;"x"&amp;CF11&amp;CHAR(10)&amp;ROUND(D11*S11,0)&amp;"x"&amp;BC11&amp;"x"&amp;CM11&amp;CHAR(10)&amp;ROUND(D11*Z11,0)&amp;"x"&amp;BJ11&amp;"x"&amp;CT11&amp;CHAR(10)&amp;ROUND(D11*AG11,0)&amp;"x"&amp;BQ11&amp;"x"&amp;DA11,
ROUND(D11*L11,0)&amp;"x"&amp;AV11&amp;"x"&amp;CF11&amp;CHAR(10)&amp;ROUND(D11*S11,0)&amp;"x"&amp;BC11&amp;"x"&amp;CM11&amp;CHAR(10)&amp;ROUND(D11*Z11,0)&amp;"x"&amp;BJ11&amp;"x"&amp;CT11&amp;CHAR(10)&amp;ROUND(D11*AG11,0)&amp;"x"&amp;BQ11&amp;"x"&amp;DA11&amp;CHAR(10)&amp;ROUND(D11*AN11,0)&amp;"x"&amp;BX11&amp;"x"&amp;DH11
)))))</f>
        <v>291x9x4</v>
      </c>
      <c r="E56" s="10" t="str">
        <f t="shared" si="30"/>
        <v/>
      </c>
      <c r="F56" s="10" t="str">
        <f t="shared" si="30"/>
        <v>311x7x5</v>
      </c>
      <c r="G56" s="10" t="str">
        <f t="shared" si="30"/>
        <v/>
      </c>
      <c r="H56" s="10" t="str">
        <f t="shared" si="30"/>
        <v>332x5x7</v>
      </c>
      <c r="I56" s="10" t="str">
        <f t="shared" si="30"/>
        <v>353x3x10</v>
      </c>
      <c r="J56" s="10" t="str">
        <f t="shared" si="30"/>
        <v/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</row>
    <row r="57" spans="2:47" x14ac:dyDescent="0.25">
      <c r="B57" s="14" t="s">
        <v>10</v>
      </c>
      <c r="C57" s="14">
        <f t="shared" si="28"/>
        <v>5</v>
      </c>
      <c r="D57" s="10" t="str">
        <f>IF(D41=0,
"",
IF(D41=1,
ROUND(D12*L12,0)&amp;"x"&amp;AV12&amp;"x"&amp;CF12,
IF(D41=2,
ROUND(D12*L12,0)&amp;"x"&amp;AV12&amp;"x"&amp;CF12&amp;CHAR(10)&amp;ROUND(D12*S12,0)&amp;"x"&amp;BC12&amp;"x"&amp;CM12,
IF(D41=3,
ROUND(D12*L12,0)&amp;"x"&amp;AV12&amp;"x"&amp;CF12&amp;CHAR(10)&amp;ROUND(D12*S12,0)&amp;"x"&amp;BC12&amp;"x"&amp;CM12&amp;CHAR(10)&amp;ROUND(D12*Z12,0)&amp;"x"&amp;BJ12&amp;"x"&amp;CT12,
IF(D41=4,
ROUND(D12*L12,0)&amp;"x"&amp;AV12&amp;"x"&amp;CF12&amp;CHAR(10)&amp;ROUND(D12*S12,0)&amp;"x"&amp;BC12&amp;"x"&amp;CM12&amp;CHAR(10)&amp;ROUND(D12*Z12,0)&amp;"x"&amp;BJ12&amp;"x"&amp;CT12&amp;CHAR(10)&amp;ROUND(D12*AG12,0)&amp;"x"&amp;BQ12&amp;"x"&amp;DA12,
ROUND(D12*L12,0)&amp;"x"&amp;AV12&amp;"x"&amp;CF12&amp;CHAR(10)&amp;ROUND(D12*S12,0)&amp;"x"&amp;BC12&amp;"x"&amp;CM12&amp;CHAR(10)&amp;ROUND(D12*Z12,0)&amp;"x"&amp;BJ12&amp;"x"&amp;CT12&amp;CHAR(10)&amp;ROUND(D12*AG12,0)&amp;"x"&amp;BQ12&amp;"x"&amp;DA12&amp;CHAR(10)&amp;ROUND(D12*AN12,0)&amp;"x"&amp;BX12&amp;"x"&amp;DH12
)))))</f>
        <v>291x9x4</v>
      </c>
      <c r="E57" s="10" t="str">
        <f t="shared" si="30"/>
        <v/>
      </c>
      <c r="F57" s="10" t="str">
        <f t="shared" si="30"/>
        <v>311x7x5</v>
      </c>
      <c r="G57" s="10" t="str">
        <f t="shared" si="30"/>
        <v/>
      </c>
      <c r="H57" s="10" t="str">
        <f t="shared" si="30"/>
        <v>332x5x7</v>
      </c>
      <c r="I57" s="10" t="str">
        <f t="shared" si="30"/>
        <v>353x3x10</v>
      </c>
      <c r="J57" s="10" t="str">
        <f t="shared" si="30"/>
        <v/>
      </c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</row>
    <row r="58" spans="2:47" x14ac:dyDescent="0.25">
      <c r="B58" s="14" t="s">
        <v>10</v>
      </c>
      <c r="C58" s="14">
        <f t="shared" si="28"/>
        <v>6</v>
      </c>
      <c r="D58" s="11" t="s">
        <v>18</v>
      </c>
      <c r="E58" s="10" t="str">
        <f t="shared" ref="E58:E65" si="31">IF(E42=0,
"",
IF(E42=1,
ROUND(E13*M13,0)&amp;"x"&amp;AW13&amp;"x"&amp;CG13,
IF(E42=2,
ROUND(E13*M13,0)&amp;"x"&amp;AW13&amp;"x"&amp;CG13&amp;CHAR(10)&amp;ROUND(E13*T13,0)&amp;"x"&amp;BD13&amp;"x"&amp;CN13,
IF(E42=3,
ROUND(E13*M13,0)&amp;"x"&amp;AW13&amp;"x"&amp;CG13&amp;CHAR(10)&amp;ROUND(E13*T13,0)&amp;"x"&amp;BD13&amp;"x"&amp;CN13&amp;CHAR(10)&amp;ROUND(E13*AA13,0)&amp;"x"&amp;BK13&amp;"x"&amp;CU13,
IF(E42=4,
ROUND(E13*M13,0)&amp;"x"&amp;AW13&amp;"x"&amp;CG13&amp;CHAR(10)&amp;ROUND(E13*T13,0)&amp;"x"&amp;BD13&amp;"x"&amp;CN13&amp;CHAR(10)&amp;ROUND(E13*AA13,0)&amp;"x"&amp;BK13&amp;"x"&amp;CU13&amp;CHAR(10)&amp;ROUND(E13*AH13,0)&amp;"x"&amp;BR13&amp;"x"&amp;DB13,
ROUND(E13*M13,0)&amp;"x"&amp;AW13&amp;"x"&amp;CG13&amp;CHAR(10)&amp;ROUND(E13*T13,0)&amp;"x"&amp;BD13&amp;"x"&amp;CN13&amp;CHAR(10)&amp;ROUND(E13*AA13,0)&amp;"x"&amp;BK13&amp;"x"&amp;CU13&amp;CHAR(10)&amp;ROUND(E13*AH13,0)&amp;"x"&amp;BR13&amp;"x"&amp;DB13&amp;CHAR(10)&amp;ROUND(E13*AO13,0)&amp;"x"&amp;BY13&amp;"x"&amp;DI13
)))))</f>
        <v/>
      </c>
      <c r="F58" s="11" t="s">
        <v>18</v>
      </c>
      <c r="G58" s="10" t="str">
        <f t="shared" ref="G58:G65" si="32">IF(G42=0,
"",
IF(G42=1,
ROUND(G13*O13,0)&amp;"x"&amp;AY13&amp;"x"&amp;CI13,
IF(G42=2,
ROUND(G13*O13,0)&amp;"x"&amp;AY13&amp;"x"&amp;CI13&amp;CHAR(10)&amp;ROUND(G13*V13,0)&amp;"x"&amp;BF13&amp;"x"&amp;CP13,
IF(G42=3,
ROUND(G13*O13,0)&amp;"x"&amp;AY13&amp;"x"&amp;CI13&amp;CHAR(10)&amp;ROUND(G13*V13,0)&amp;"x"&amp;BF13&amp;"x"&amp;CP13&amp;CHAR(10)&amp;ROUND(G13*AC13,0)&amp;"x"&amp;BM13&amp;"x"&amp;CW13,
IF(G42=4,
ROUND(G13*O13,0)&amp;"x"&amp;AY13&amp;"x"&amp;CI13&amp;CHAR(10)&amp;ROUND(G13*V13,0)&amp;"x"&amp;BF13&amp;"x"&amp;CP13&amp;CHAR(10)&amp;ROUND(G13*AC13,0)&amp;"x"&amp;BM13&amp;"x"&amp;CW13&amp;CHAR(10)&amp;ROUND(G13*AJ13,0)&amp;"x"&amp;BT13&amp;"x"&amp;DD13,
ROUND(G13*O13,0)&amp;"x"&amp;AY13&amp;"x"&amp;CI13&amp;CHAR(10)&amp;ROUND(G13*V13,0)&amp;"x"&amp;BF13&amp;"x"&amp;CP13&amp;CHAR(10)&amp;ROUND(G13*AC13,0)&amp;"x"&amp;BM13&amp;"x"&amp;CW13&amp;CHAR(10)&amp;ROUND(G13*AJ13,0)&amp;"x"&amp;BT13&amp;"x"&amp;DD13&amp;CHAR(10)&amp;ROUND(G13*AQ13,0)&amp;"x"&amp;CA13&amp;"x"&amp;DK13
)))))</f>
        <v/>
      </c>
      <c r="H58" s="12" t="s">
        <v>19</v>
      </c>
      <c r="I58" s="10" t="str">
        <f t="shared" ref="I58:J64" si="33">IF(I42=0,
"",
IF(I42=1,
ROUND(I13*Q13,0)&amp;"x"&amp;BA13&amp;"x"&amp;CK13,
IF(I42=2,
ROUND(I13*Q13,0)&amp;"x"&amp;BA13&amp;"x"&amp;CK13&amp;CHAR(10)&amp;ROUND(I13*X13,0)&amp;"x"&amp;BH13&amp;"x"&amp;CR13,
IF(I42=3,
ROUND(I13*Q13,0)&amp;"x"&amp;BA13&amp;"x"&amp;CK13&amp;CHAR(10)&amp;ROUND(I13*X13,0)&amp;"x"&amp;BH13&amp;"x"&amp;CR13&amp;CHAR(10)&amp;ROUND(I13*AE13,0)&amp;"x"&amp;BO13&amp;"x"&amp;CY13,
IF(I42=4,
ROUND(I13*Q13,0)&amp;"x"&amp;BA13&amp;"x"&amp;CK13&amp;CHAR(10)&amp;ROUND(I13*X13,0)&amp;"x"&amp;BH13&amp;"x"&amp;CR13&amp;CHAR(10)&amp;ROUND(I13*AE13,0)&amp;"x"&amp;BO13&amp;"x"&amp;CY13&amp;CHAR(10)&amp;ROUND(I13*AL13,0)&amp;"x"&amp;BV13&amp;"x"&amp;DF13,
ROUND(I13*Q13,0)&amp;"x"&amp;BA13&amp;"x"&amp;CK13&amp;CHAR(10)&amp;ROUND(I13*X13,0)&amp;"x"&amp;BH13&amp;"x"&amp;CR13&amp;CHAR(10)&amp;ROUND(I13*AE13,0)&amp;"x"&amp;BO13&amp;"x"&amp;CY13&amp;CHAR(10)&amp;ROUND(I13*AL13,0)&amp;"x"&amp;BV13&amp;"x"&amp;DF13&amp;CHAR(10)&amp;ROUND(I13*AS13,0)&amp;"x"&amp;CC13&amp;"x"&amp;DM13
)))))</f>
        <v/>
      </c>
      <c r="J58" s="10" t="str">
        <f t="shared" si="33"/>
        <v/>
      </c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</row>
    <row r="59" spans="2:47" ht="74.25" customHeight="1" x14ac:dyDescent="0.25">
      <c r="B59" s="14" t="s">
        <v>11</v>
      </c>
      <c r="C59" s="14">
        <f t="shared" si="28"/>
        <v>7</v>
      </c>
      <c r="D59" s="13" t="s">
        <v>20</v>
      </c>
      <c r="E59" s="10" t="str">
        <f t="shared" si="31"/>
        <v/>
      </c>
      <c r="F59" s="13" t="s">
        <v>20</v>
      </c>
      <c r="G59" s="10" t="str">
        <f t="shared" si="32"/>
        <v/>
      </c>
      <c r="H59" s="13" t="s">
        <v>20</v>
      </c>
      <c r="I59" s="10" t="str">
        <f t="shared" si="33"/>
        <v/>
      </c>
      <c r="J59" s="10" t="str">
        <f t="shared" si="33"/>
        <v/>
      </c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</row>
    <row r="60" spans="2:47" ht="74.25" customHeight="1" x14ac:dyDescent="0.25">
      <c r="B60" s="14" t="s">
        <v>11</v>
      </c>
      <c r="C60" s="14">
        <f t="shared" si="28"/>
        <v>8</v>
      </c>
      <c r="D60" s="13" t="s">
        <v>20</v>
      </c>
      <c r="E60" s="10" t="str">
        <f t="shared" si="31"/>
        <v/>
      </c>
      <c r="F60" s="13" t="s">
        <v>20</v>
      </c>
      <c r="G60" s="10" t="str">
        <f t="shared" si="32"/>
        <v/>
      </c>
      <c r="H60" s="13" t="s">
        <v>20</v>
      </c>
      <c r="I60" s="10" t="str">
        <f t="shared" si="33"/>
        <v/>
      </c>
      <c r="J60" s="10" t="str">
        <f t="shared" si="33"/>
        <v/>
      </c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</row>
    <row r="61" spans="2:47" ht="74.25" customHeight="1" x14ac:dyDescent="0.25">
      <c r="B61" s="14" t="s">
        <v>12</v>
      </c>
      <c r="C61" s="14">
        <f t="shared" si="28"/>
        <v>9</v>
      </c>
      <c r="D61" s="10" t="str">
        <f>IF(D45=0,
"",
IF(D45=1,
ROUND(D16*L16,0)&amp;"x"&amp;AV16&amp;"x"&amp;CF16,
IF(D45=2,
ROUND(D16*L16,0)&amp;"x"&amp;AV16&amp;"x"&amp;CF16&amp;CHAR(10)&amp;ROUND(D16*S16,0)&amp;"x"&amp;BC16&amp;"x"&amp;CM16,
IF(D45=3,
ROUND(D16*L16,0)&amp;"x"&amp;AV16&amp;"x"&amp;CF16&amp;CHAR(10)&amp;ROUND(D16*S16,0)&amp;"x"&amp;BC16&amp;"x"&amp;CM16&amp;CHAR(10)&amp;ROUND(D16*Z16,0)&amp;"x"&amp;BJ16&amp;"x"&amp;CT16,
IF(D45=4,
ROUND(D16*L16,0)&amp;"x"&amp;AV16&amp;"x"&amp;CF16&amp;CHAR(10)&amp;ROUND(D16*S16,0)&amp;"x"&amp;BC16&amp;"x"&amp;CM16&amp;CHAR(10)&amp;ROUND(D16*Z16,0)&amp;"x"&amp;BJ16&amp;"x"&amp;CT16&amp;CHAR(10)&amp;ROUND(D16*AG16,0)&amp;"x"&amp;BQ16&amp;"x"&amp;DA16,
ROUND(D16*L16,0)&amp;"x"&amp;AV16&amp;"x"&amp;CF16&amp;CHAR(10)&amp;ROUND(D16*S16,0)&amp;"x"&amp;BC16&amp;"x"&amp;CM16&amp;CHAR(10)&amp;ROUND(D16*Z16,0)&amp;"x"&amp;BJ16&amp;"x"&amp;CT16&amp;CHAR(10)&amp;ROUND(D16*AG16,0)&amp;"x"&amp;BQ16&amp;"x"&amp;DA16&amp;CHAR(10)&amp;ROUND(D16*AN16,0)&amp;"x"&amp;BX16&amp;"x"&amp;DH16
)))))</f>
        <v>276x3x1
319x4x1
361x4x3
361x5x1</v>
      </c>
      <c r="E61" s="10" t="str">
        <f t="shared" si="31"/>
        <v/>
      </c>
      <c r="F61" s="10" t="str">
        <f>IF(F45=0,
"",
IF(F45=1,
ROUND(F16*N16,0)&amp;"x"&amp;AX16&amp;"x"&amp;CH16,
IF(F45=2,
ROUND(F16*N16,0)&amp;"x"&amp;AX16&amp;"x"&amp;CH16&amp;CHAR(10)&amp;ROUND(F16*U16,0)&amp;"x"&amp;BE16&amp;"x"&amp;CO16,
IF(F45=3,
ROUND(F16*N16,0)&amp;"x"&amp;AX16&amp;"x"&amp;CH16&amp;CHAR(10)&amp;ROUND(F16*U16,0)&amp;"x"&amp;BE16&amp;"x"&amp;CO16&amp;CHAR(10)&amp;ROUND(F16*AB16,0)&amp;"x"&amp;BL16&amp;"x"&amp;CV16,
IF(F45=4,
ROUND(F16*N16,0)&amp;"x"&amp;AX16&amp;"x"&amp;CH16&amp;CHAR(10)&amp;ROUND(F16*U16,0)&amp;"x"&amp;BE16&amp;"x"&amp;CO16&amp;CHAR(10)&amp;ROUND(F16*AB16,0)&amp;"x"&amp;BL16&amp;"x"&amp;CV16&amp;CHAR(10)&amp;ROUND(F16*AI16,0)&amp;"x"&amp;BS16&amp;"x"&amp;DC16,
ROUND(F16*N16,0)&amp;"x"&amp;AX16&amp;"x"&amp;CH16&amp;CHAR(10)&amp;ROUND(F16*U16,0)&amp;"x"&amp;BE16&amp;"x"&amp;CO16&amp;CHAR(10)&amp;ROUND(F16*AB16,0)&amp;"x"&amp;BL16&amp;"x"&amp;CV16&amp;CHAR(10)&amp;ROUND(F16*AI16,0)&amp;"x"&amp;BS16&amp;"x"&amp;DC16&amp;CHAR(10)&amp;ROUND(F16*AP16,0)&amp;"x"&amp;BZ16&amp;"x"&amp;DJ16
)))))</f>
        <v>255x3x1
298x3x1
340x4x1
383x3x1
361x5x2</v>
      </c>
      <c r="G61" s="10" t="str">
        <f t="shared" si="32"/>
        <v/>
      </c>
      <c r="H61" s="10" t="str">
        <f>IF(H45=0,
"",
IF(H45=1,
ROUND(H16*P16,0)&amp;"x"&amp;AZ16&amp;"x"&amp;CJ16,
IF(H45=2,
ROUND(H16*P16,0)&amp;"x"&amp;AZ16&amp;"x"&amp;CJ16&amp;CHAR(10)&amp;ROUND(H16*W16,0)&amp;"x"&amp;BG16&amp;"x"&amp;CQ16,
IF(H45=3,
ROUND(H16*P16,0)&amp;"x"&amp;AZ16&amp;"x"&amp;CJ16&amp;CHAR(10)&amp;ROUND(H16*W16,0)&amp;"x"&amp;BG16&amp;"x"&amp;CQ16&amp;CHAR(10)&amp;ROUND(H16*AD16,0)&amp;"x"&amp;BN16&amp;"x"&amp;CX16,
IF(H45=4,
ROUND(H16*P16,0)&amp;"x"&amp;AZ16&amp;"x"&amp;CJ16&amp;CHAR(10)&amp;ROUND(H16*W16,0)&amp;"x"&amp;BG16&amp;"x"&amp;CQ16&amp;CHAR(10)&amp;ROUND(H16*AD16,0)&amp;"x"&amp;BN16&amp;"x"&amp;CX16&amp;CHAR(10)&amp;ROUND(H16*AK16,0)&amp;"x"&amp;BU16&amp;"x"&amp;DE16,
ROUND(H16*P16,0)&amp;"x"&amp;AZ16&amp;"x"&amp;CJ16&amp;CHAR(10)&amp;ROUND(H16*W16,0)&amp;"x"&amp;BG16&amp;"x"&amp;CQ16&amp;CHAR(10)&amp;ROUND(H16*AD16,0)&amp;"x"&amp;BN16&amp;"x"&amp;CX16&amp;CHAR(10)&amp;ROUND(H16*AK16,0)&amp;"x"&amp;BU16&amp;"x"&amp;DE16&amp;CHAR(10)&amp;ROUND(H16*AR16,0)&amp;"x"&amp;CB16&amp;"x"&amp;DL16
)))))</f>
        <v/>
      </c>
      <c r="I61" s="10" t="str">
        <f t="shared" si="33"/>
        <v>276x4x1
298x4x1
340x4x5</v>
      </c>
      <c r="J61" s="10" t="str">
        <f t="shared" si="33"/>
        <v/>
      </c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</row>
    <row r="62" spans="2:47" ht="74.25" customHeight="1" x14ac:dyDescent="0.25">
      <c r="B62" s="14" t="s">
        <v>12</v>
      </c>
      <c r="C62" s="14">
        <f t="shared" si="28"/>
        <v>10</v>
      </c>
      <c r="D62" s="10" t="str">
        <f>IF(D46=0,
"",
IF(D46=1,
ROUND(D17*L17,0)&amp;"x"&amp;AV17&amp;"x"&amp;CF17,
IF(D46=2,
ROUND(D17*L17,0)&amp;"x"&amp;AV17&amp;"x"&amp;CF17&amp;CHAR(10)&amp;ROUND(D17*S17,0)&amp;"x"&amp;BC17&amp;"x"&amp;CM17,
IF(D46=3,
ROUND(D17*L17,0)&amp;"x"&amp;AV17&amp;"x"&amp;CF17&amp;CHAR(10)&amp;ROUND(D17*S17,0)&amp;"x"&amp;BC17&amp;"x"&amp;CM17&amp;CHAR(10)&amp;ROUND(D17*Z17,0)&amp;"x"&amp;BJ17&amp;"x"&amp;CT17,
IF(D46=4,
ROUND(D17*L17,0)&amp;"x"&amp;AV17&amp;"x"&amp;CF17&amp;CHAR(10)&amp;ROUND(D17*S17,0)&amp;"x"&amp;BC17&amp;"x"&amp;CM17&amp;CHAR(10)&amp;ROUND(D17*Z17,0)&amp;"x"&amp;BJ17&amp;"x"&amp;CT17&amp;CHAR(10)&amp;ROUND(D17*AG17,0)&amp;"x"&amp;BQ17&amp;"x"&amp;DA17,
ROUND(D17*L17,0)&amp;"x"&amp;AV17&amp;"x"&amp;CF17&amp;CHAR(10)&amp;ROUND(D17*S17,0)&amp;"x"&amp;BC17&amp;"x"&amp;CM17&amp;CHAR(10)&amp;ROUND(D17*Z17,0)&amp;"x"&amp;BJ17&amp;"x"&amp;CT17&amp;CHAR(10)&amp;ROUND(D17*AG17,0)&amp;"x"&amp;BQ17&amp;"x"&amp;DA17&amp;CHAR(10)&amp;ROUND(D17*AN17,0)&amp;"x"&amp;BX17&amp;"x"&amp;DH17
)))))</f>
        <v>255x4x1
298x4x1
340x4x1
383x3x1
383x4x2</v>
      </c>
      <c r="E62" s="10" t="str">
        <f t="shared" si="31"/>
        <v/>
      </c>
      <c r="F62" s="10" t="str">
        <f>IF(F46=0,
"",
IF(F46=1,
ROUND(F17*N17,0)&amp;"x"&amp;AX17&amp;"x"&amp;CH17,
IF(F46=2,
ROUND(F17*N17,0)&amp;"x"&amp;AX17&amp;"x"&amp;CH17&amp;CHAR(10)&amp;ROUND(F17*U17,0)&amp;"x"&amp;BE17&amp;"x"&amp;CO17,
IF(F46=3,
ROUND(F17*N17,0)&amp;"x"&amp;AX17&amp;"x"&amp;CH17&amp;CHAR(10)&amp;ROUND(F17*U17,0)&amp;"x"&amp;BE17&amp;"x"&amp;CO17&amp;CHAR(10)&amp;ROUND(F17*AB17,0)&amp;"x"&amp;BL17&amp;"x"&amp;CV17,
IF(F46=4,
ROUND(F17*N17,0)&amp;"x"&amp;AX17&amp;"x"&amp;CH17&amp;CHAR(10)&amp;ROUND(F17*U17,0)&amp;"x"&amp;BE17&amp;"x"&amp;CO17&amp;CHAR(10)&amp;ROUND(F17*AB17,0)&amp;"x"&amp;BL17&amp;"x"&amp;CV17&amp;CHAR(10)&amp;ROUND(F17*AI17,0)&amp;"x"&amp;BS17&amp;"x"&amp;DC17,
ROUND(F17*N17,0)&amp;"x"&amp;AX17&amp;"x"&amp;CH17&amp;CHAR(10)&amp;ROUND(F17*U17,0)&amp;"x"&amp;BE17&amp;"x"&amp;CO17&amp;CHAR(10)&amp;ROUND(F17*AB17,0)&amp;"x"&amp;BL17&amp;"x"&amp;CV17&amp;CHAR(10)&amp;ROUND(F17*AI17,0)&amp;"x"&amp;BS17&amp;"x"&amp;DC17&amp;CHAR(10)&amp;ROUND(F17*AP17,0)&amp;"x"&amp;BZ17&amp;"x"&amp;DJ17
)))))</f>
        <v>276x3x1
319x3x1
361x3x1
383x3x3
404x3x1</v>
      </c>
      <c r="G62" s="10" t="str">
        <f t="shared" si="32"/>
        <v/>
      </c>
      <c r="H62" s="10" t="str">
        <f>IF(H46=0,
"",
IF(H46=1,
ROUND(H17*P17,0)&amp;"x"&amp;AZ17&amp;"x"&amp;CJ17,
IF(H46=2,
ROUND(H17*P17,0)&amp;"x"&amp;AZ17&amp;"x"&amp;CJ17&amp;CHAR(10)&amp;ROUND(H17*W17,0)&amp;"x"&amp;BG17&amp;"x"&amp;CQ17,
IF(H46=3,
ROUND(H17*P17,0)&amp;"x"&amp;AZ17&amp;"x"&amp;CJ17&amp;CHAR(10)&amp;ROUND(H17*W17,0)&amp;"x"&amp;BG17&amp;"x"&amp;CQ17&amp;CHAR(10)&amp;ROUND(H17*AD17,0)&amp;"x"&amp;BN17&amp;"x"&amp;CX17,
IF(H46=4,
ROUND(H17*P17,0)&amp;"x"&amp;AZ17&amp;"x"&amp;CJ17&amp;CHAR(10)&amp;ROUND(H17*W17,0)&amp;"x"&amp;BG17&amp;"x"&amp;CQ17&amp;CHAR(10)&amp;ROUND(H17*AD17,0)&amp;"x"&amp;BN17&amp;"x"&amp;CX17&amp;CHAR(10)&amp;ROUND(H17*AK17,0)&amp;"x"&amp;BU17&amp;"x"&amp;DE17,
ROUND(H17*P17,0)&amp;"x"&amp;AZ17&amp;"x"&amp;CJ17&amp;CHAR(10)&amp;ROUND(H17*W17,0)&amp;"x"&amp;BG17&amp;"x"&amp;CQ17&amp;CHAR(10)&amp;ROUND(H17*AD17,0)&amp;"x"&amp;BN17&amp;"x"&amp;CX17&amp;CHAR(10)&amp;ROUND(H17*AK17,0)&amp;"x"&amp;BU17&amp;"x"&amp;DE17&amp;CHAR(10)&amp;ROUND(H17*AR17,0)&amp;"x"&amp;CB17&amp;"x"&amp;DL17
)))))</f>
        <v/>
      </c>
      <c r="I62" s="10" t="str">
        <f t="shared" si="33"/>
        <v>276x3x1
319x3x1
361x4x1
383x5x4</v>
      </c>
      <c r="J62" s="10" t="str">
        <f t="shared" si="33"/>
        <v/>
      </c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</row>
    <row r="63" spans="2:47" ht="60" x14ac:dyDescent="0.25">
      <c r="B63" s="14" t="s">
        <v>12</v>
      </c>
      <c r="C63" s="14">
        <f t="shared" si="28"/>
        <v>11</v>
      </c>
      <c r="D63" s="10" t="str">
        <f>IF(D47=0,
"",
IF(D47=1,
ROUND(D18*L18,0)&amp;"x"&amp;AV18&amp;"x"&amp;CF18,
IF(D47=2,
ROUND(D18*L18,0)&amp;"x"&amp;AV18&amp;"x"&amp;CF18&amp;CHAR(10)&amp;ROUND(D18*S18,0)&amp;"x"&amp;BC18&amp;"x"&amp;CM18,
IF(D47=3,
ROUND(D18*L18,0)&amp;"x"&amp;AV18&amp;"x"&amp;CF18&amp;CHAR(10)&amp;ROUND(D18*S18,0)&amp;"x"&amp;BC18&amp;"x"&amp;CM18&amp;CHAR(10)&amp;ROUND(D18*Z18,0)&amp;"x"&amp;BJ18&amp;"x"&amp;CT18,
IF(D47=4,
ROUND(D18*L18,0)&amp;"x"&amp;AV18&amp;"x"&amp;CF18&amp;CHAR(10)&amp;ROUND(D18*S18,0)&amp;"x"&amp;BC18&amp;"x"&amp;CM18&amp;CHAR(10)&amp;ROUND(D18*Z18,0)&amp;"x"&amp;BJ18&amp;"x"&amp;CT18&amp;CHAR(10)&amp;ROUND(D18*AG18,0)&amp;"x"&amp;BQ18&amp;"x"&amp;DA18,
ROUND(D18*L18,0)&amp;"x"&amp;AV18&amp;"x"&amp;CF18&amp;CHAR(10)&amp;ROUND(D18*S18,0)&amp;"x"&amp;BC18&amp;"x"&amp;CM18&amp;CHAR(10)&amp;ROUND(D18*Z18,0)&amp;"x"&amp;BJ18&amp;"x"&amp;CT18&amp;CHAR(10)&amp;ROUND(D18*AG18,0)&amp;"x"&amp;BQ18&amp;"x"&amp;DA18&amp;CHAR(10)&amp;ROUND(D18*AN18,0)&amp;"x"&amp;BX18&amp;"x"&amp;DH18
)))))</f>
        <v>255x3x1
298x3x1
340x3x1
383x5x5</v>
      </c>
      <c r="E63" s="10" t="str">
        <f t="shared" si="31"/>
        <v/>
      </c>
      <c r="F63" s="10" t="str">
        <f>IF(F47=0,
"",
IF(F47=1,
ROUND(F18*N18,0)&amp;"x"&amp;AX18&amp;"x"&amp;CH18,
IF(F47=2,
ROUND(F18*N18,0)&amp;"x"&amp;AX18&amp;"x"&amp;CH18&amp;CHAR(10)&amp;ROUND(F18*U18,0)&amp;"x"&amp;BE18&amp;"x"&amp;CO18,
IF(F47=3,
ROUND(F18*N18,0)&amp;"x"&amp;AX18&amp;"x"&amp;CH18&amp;CHAR(10)&amp;ROUND(F18*U18,0)&amp;"x"&amp;BE18&amp;"x"&amp;CO18&amp;CHAR(10)&amp;ROUND(F18*AB18,0)&amp;"x"&amp;BL18&amp;"x"&amp;CV18,
IF(F47=4,
ROUND(F18*N18,0)&amp;"x"&amp;AX18&amp;"x"&amp;CH18&amp;CHAR(10)&amp;ROUND(F18*U18,0)&amp;"x"&amp;BE18&amp;"x"&amp;CO18&amp;CHAR(10)&amp;ROUND(F18*AB18,0)&amp;"x"&amp;BL18&amp;"x"&amp;CV18&amp;CHAR(10)&amp;ROUND(F18*AI18,0)&amp;"x"&amp;BS18&amp;"x"&amp;DC18,
ROUND(F18*N18,0)&amp;"x"&amp;AX18&amp;"x"&amp;CH18&amp;CHAR(10)&amp;ROUND(F18*U18,0)&amp;"x"&amp;BE18&amp;"x"&amp;CO18&amp;CHAR(10)&amp;ROUND(F18*AB18,0)&amp;"x"&amp;BL18&amp;"x"&amp;CV18&amp;CHAR(10)&amp;ROUND(F18*AI18,0)&amp;"x"&amp;BS18&amp;"x"&amp;DC18&amp;CHAR(10)&amp;ROUND(F18*AP18,0)&amp;"x"&amp;BZ18&amp;"x"&amp;DJ18
)))))</f>
        <v>255x3x1
298x3x1
340x3x1
404x3x2</v>
      </c>
      <c r="G63" s="10" t="str">
        <f t="shared" si="32"/>
        <v/>
      </c>
      <c r="H63" s="10" t="str">
        <f>IF(H47=0,
"",
IF(H47=1,
ROUND(H18*P18,0)&amp;"x"&amp;AZ18&amp;"x"&amp;CJ18,
IF(H47=2,
ROUND(H18*P18,0)&amp;"x"&amp;AZ18&amp;"x"&amp;CJ18&amp;CHAR(10)&amp;ROUND(H18*W18,0)&amp;"x"&amp;BG18&amp;"x"&amp;CQ18,
IF(H47=3,
ROUND(H18*P18,0)&amp;"x"&amp;AZ18&amp;"x"&amp;CJ18&amp;CHAR(10)&amp;ROUND(H18*W18,0)&amp;"x"&amp;BG18&amp;"x"&amp;CQ18&amp;CHAR(10)&amp;ROUND(H18*AD18,0)&amp;"x"&amp;BN18&amp;"x"&amp;CX18,
IF(H47=4,
ROUND(H18*P18,0)&amp;"x"&amp;AZ18&amp;"x"&amp;CJ18&amp;CHAR(10)&amp;ROUND(H18*W18,0)&amp;"x"&amp;BG18&amp;"x"&amp;CQ18&amp;CHAR(10)&amp;ROUND(H18*AD18,0)&amp;"x"&amp;BN18&amp;"x"&amp;CX18&amp;CHAR(10)&amp;ROUND(H18*AK18,0)&amp;"x"&amp;BU18&amp;"x"&amp;DE18,
ROUND(H18*P18,0)&amp;"x"&amp;AZ18&amp;"x"&amp;CJ18&amp;CHAR(10)&amp;ROUND(H18*W18,0)&amp;"x"&amp;BG18&amp;"x"&amp;CQ18&amp;CHAR(10)&amp;ROUND(H18*AD18,0)&amp;"x"&amp;BN18&amp;"x"&amp;CX18&amp;CHAR(10)&amp;ROUND(H18*AK18,0)&amp;"x"&amp;BU18&amp;"x"&amp;DE18&amp;CHAR(10)&amp;ROUND(H18*AR18,0)&amp;"x"&amp;CB18&amp;"x"&amp;DL18
)))))</f>
        <v/>
      </c>
      <c r="I63" s="10" t="str">
        <f t="shared" si="33"/>
        <v>276x3x1
319x3x1
361x3x1
404x3x4</v>
      </c>
      <c r="J63" s="10" t="str">
        <f t="shared" si="33"/>
        <v/>
      </c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</row>
    <row r="64" spans="2:47" ht="45" x14ac:dyDescent="0.25">
      <c r="B64" s="14" t="s">
        <v>12</v>
      </c>
      <c r="C64" s="14">
        <f t="shared" si="28"/>
        <v>12</v>
      </c>
      <c r="D64" s="10" t="str">
        <f>IF(D48=0,
"",
IF(D48=1,
ROUND(D19*L19,0)&amp;"x"&amp;AV19&amp;"x"&amp;CF19,
IF(D48=2,
ROUND(D19*L19,0)&amp;"x"&amp;AV19&amp;"x"&amp;CF19&amp;CHAR(10)&amp;ROUND(D19*S19,0)&amp;"x"&amp;BC19&amp;"x"&amp;CM19,
IF(D48=3,
ROUND(D19*L19,0)&amp;"x"&amp;AV19&amp;"x"&amp;CF19&amp;CHAR(10)&amp;ROUND(D19*S19,0)&amp;"x"&amp;BC19&amp;"x"&amp;CM19&amp;CHAR(10)&amp;ROUND(D19*Z19,0)&amp;"x"&amp;BJ19&amp;"x"&amp;CT19,
IF(D48=4,
ROUND(D19*L19,0)&amp;"x"&amp;AV19&amp;"x"&amp;CF19&amp;CHAR(10)&amp;ROUND(D19*S19,0)&amp;"x"&amp;BC19&amp;"x"&amp;CM19&amp;CHAR(10)&amp;ROUND(D19*Z19,0)&amp;"x"&amp;BJ19&amp;"x"&amp;CT19&amp;CHAR(10)&amp;ROUND(D19*AG19,0)&amp;"x"&amp;BQ19&amp;"x"&amp;DA19,
ROUND(D19*L19,0)&amp;"x"&amp;AV19&amp;"x"&amp;CF19&amp;CHAR(10)&amp;ROUND(D19*S19,0)&amp;"x"&amp;BC19&amp;"x"&amp;CM19&amp;CHAR(10)&amp;ROUND(D19*Z19,0)&amp;"x"&amp;BJ19&amp;"x"&amp;CT19&amp;CHAR(10)&amp;ROUND(D19*AG19,0)&amp;"x"&amp;BQ19&amp;"x"&amp;DA19&amp;CHAR(10)&amp;ROUND(D19*AN19,0)&amp;"x"&amp;BX19&amp;"x"&amp;DH19
)))))</f>
        <v>298x3x1
340x3x1
383x5x5</v>
      </c>
      <c r="E64" s="10" t="str">
        <f t="shared" si="31"/>
        <v/>
      </c>
      <c r="F64" s="10" t="str">
        <f>IF(F48=0,
"",
IF(F48=1,
ROUND(F19*N19,0)&amp;"x"&amp;AX19&amp;"x"&amp;CH19,
IF(F48=2,
ROUND(F19*N19,0)&amp;"x"&amp;AX19&amp;"x"&amp;CH19&amp;CHAR(10)&amp;ROUND(F19*U19,0)&amp;"x"&amp;BE19&amp;"x"&amp;CO19,
IF(F48=3,
ROUND(F19*N19,0)&amp;"x"&amp;AX19&amp;"x"&amp;CH19&amp;CHAR(10)&amp;ROUND(F19*U19,0)&amp;"x"&amp;BE19&amp;"x"&amp;CO19&amp;CHAR(10)&amp;ROUND(F19*AB19,0)&amp;"x"&amp;BL19&amp;"x"&amp;CV19,
IF(F48=4,
ROUND(F19*N19,0)&amp;"x"&amp;AX19&amp;"x"&amp;CH19&amp;CHAR(10)&amp;ROUND(F19*U19,0)&amp;"x"&amp;BE19&amp;"x"&amp;CO19&amp;CHAR(10)&amp;ROUND(F19*AB19,0)&amp;"x"&amp;BL19&amp;"x"&amp;CV19&amp;CHAR(10)&amp;ROUND(F19*AI19,0)&amp;"x"&amp;BS19&amp;"x"&amp;DC19,
ROUND(F19*N19,0)&amp;"x"&amp;AX19&amp;"x"&amp;CH19&amp;CHAR(10)&amp;ROUND(F19*U19,0)&amp;"x"&amp;BE19&amp;"x"&amp;CO19&amp;CHAR(10)&amp;ROUND(F19*AB19,0)&amp;"x"&amp;BL19&amp;"x"&amp;CV19&amp;CHAR(10)&amp;ROUND(F19*AI19,0)&amp;"x"&amp;BS19&amp;"x"&amp;DC19&amp;CHAR(10)&amp;ROUND(F19*AP19,0)&amp;"x"&amp;BZ19&amp;"x"&amp;DJ19
)))))</f>
        <v>298x3x1
340x3x1
404x3x4</v>
      </c>
      <c r="G64" s="10" t="str">
        <f t="shared" si="32"/>
        <v/>
      </c>
      <c r="H64" s="10" t="str">
        <f>IF(H48=0,
"",
IF(H48=1,
ROUND(H19*P19,0)&amp;"x"&amp;AZ19&amp;"x"&amp;CJ19,
IF(H48=2,
ROUND(H19*P19,0)&amp;"x"&amp;AZ19&amp;"x"&amp;CJ19&amp;CHAR(10)&amp;ROUND(H19*W19,0)&amp;"x"&amp;BG19&amp;"x"&amp;CQ19,
IF(H48=3,
ROUND(H19*P19,0)&amp;"x"&amp;AZ19&amp;"x"&amp;CJ19&amp;CHAR(10)&amp;ROUND(H19*W19,0)&amp;"x"&amp;BG19&amp;"x"&amp;CQ19&amp;CHAR(10)&amp;ROUND(H19*AD19,0)&amp;"x"&amp;BN19&amp;"x"&amp;CX19,
IF(H48=4,
ROUND(H19*P19,0)&amp;"x"&amp;AZ19&amp;"x"&amp;CJ19&amp;CHAR(10)&amp;ROUND(H19*W19,0)&amp;"x"&amp;BG19&amp;"x"&amp;CQ19&amp;CHAR(10)&amp;ROUND(H19*AD19,0)&amp;"x"&amp;BN19&amp;"x"&amp;CX19&amp;CHAR(10)&amp;ROUND(H19*AK19,0)&amp;"x"&amp;BU19&amp;"x"&amp;DE19,
ROUND(H19*P19,0)&amp;"x"&amp;AZ19&amp;"x"&amp;CJ19&amp;CHAR(10)&amp;ROUND(H19*W19,0)&amp;"x"&amp;BG19&amp;"x"&amp;CQ19&amp;CHAR(10)&amp;ROUND(H19*AD19,0)&amp;"x"&amp;BN19&amp;"x"&amp;CX19&amp;CHAR(10)&amp;ROUND(H19*AK19,0)&amp;"x"&amp;BU19&amp;"x"&amp;DE19&amp;CHAR(10)&amp;ROUND(H19*AR19,0)&amp;"x"&amp;CB19&amp;"x"&amp;DL19
)))))</f>
        <v/>
      </c>
      <c r="I64" s="10" t="str">
        <f t="shared" si="33"/>
        <v>319x3x1
383x4x1
404x4x3</v>
      </c>
      <c r="J64" s="10" t="str">
        <f t="shared" si="33"/>
        <v/>
      </c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</row>
    <row r="65" spans="2:47" ht="30" x14ac:dyDescent="0.25">
      <c r="B65" s="14" t="s">
        <v>13</v>
      </c>
      <c r="C65" s="14">
        <f t="shared" si="28"/>
        <v>13</v>
      </c>
      <c r="D65" s="10" t="str">
        <f>IF(D49=0,
"",
IF(D49=1,
ROUND(D20*L20,0)&amp;"x"&amp;AV20&amp;"x"&amp;CF20,
IF(D49=2,
ROUND(D20*L20,0)&amp;"x"&amp;AV20&amp;"x"&amp;CF20&amp;CHAR(10)&amp;ROUND(D20*S20,0)&amp;"x"&amp;BC20&amp;"x"&amp;CM20,
IF(D49=3,
ROUND(D20*L20,0)&amp;"x"&amp;AV20&amp;"x"&amp;CF20&amp;CHAR(10)&amp;ROUND(D20*S20,0)&amp;"x"&amp;BC20&amp;"x"&amp;CM20&amp;CHAR(10)&amp;ROUND(D20*Z20,0)&amp;"x"&amp;BJ20&amp;"x"&amp;CT20,
IF(D49=4,
ROUND(D20*L20,0)&amp;"x"&amp;AV20&amp;"x"&amp;CF20&amp;CHAR(10)&amp;ROUND(D20*S20,0)&amp;"x"&amp;BC20&amp;"x"&amp;CM20&amp;CHAR(10)&amp;ROUND(D20*Z20,0)&amp;"x"&amp;BJ20&amp;"x"&amp;CT20&amp;CHAR(10)&amp;ROUND(D20*AG20,0)&amp;"x"&amp;BQ20&amp;"x"&amp;DA20,
ROUND(D20*L20,0)&amp;"x"&amp;AV20&amp;"x"&amp;CF20&amp;CHAR(10)&amp;ROUND(D20*S20,0)&amp;"x"&amp;BC20&amp;"x"&amp;CM20&amp;CHAR(10)&amp;ROUND(D20*Z20,0)&amp;"x"&amp;BJ20&amp;"x"&amp;CT20&amp;CHAR(10)&amp;ROUND(D20*AG20,0)&amp;"x"&amp;BQ20&amp;"x"&amp;DA20&amp;CHAR(10)&amp;ROUND(D20*AN20,0)&amp;"x"&amp;BX20&amp;"x"&amp;DH20
)))))</f>
        <v>298x3x1
340x3x1</v>
      </c>
      <c r="E65" s="10" t="str">
        <f t="shared" si="31"/>
        <v/>
      </c>
      <c r="F65" s="10" t="str">
        <f>IF(F49=0,
"",
IF(F49=1,
ROUND(F20*N20,0)&amp;"x"&amp;AX20&amp;"x"&amp;CH20,
IF(F49=2,
ROUND(F20*N20,0)&amp;"x"&amp;AX20&amp;"x"&amp;CH20&amp;CHAR(10)&amp;ROUND(F20*U20,0)&amp;"x"&amp;BE20&amp;"x"&amp;CO20,
IF(F49=3,
ROUND(F20*N20,0)&amp;"x"&amp;AX20&amp;"x"&amp;CH20&amp;CHAR(10)&amp;ROUND(F20*U20,0)&amp;"x"&amp;BE20&amp;"x"&amp;CO20&amp;CHAR(10)&amp;ROUND(F20*AB20,0)&amp;"x"&amp;BL20&amp;"x"&amp;CV20,
IF(F49=4,
ROUND(F20*N20,0)&amp;"x"&amp;AX20&amp;"x"&amp;CH20&amp;CHAR(10)&amp;ROUND(F20*U20,0)&amp;"x"&amp;BE20&amp;"x"&amp;CO20&amp;CHAR(10)&amp;ROUND(F20*AB20,0)&amp;"x"&amp;BL20&amp;"x"&amp;CV20&amp;CHAR(10)&amp;ROUND(F20*AI20,0)&amp;"x"&amp;BS20&amp;"x"&amp;DC20,
ROUND(F20*N20,0)&amp;"x"&amp;AX20&amp;"x"&amp;CH20&amp;CHAR(10)&amp;ROUND(F20*U20,0)&amp;"x"&amp;BE20&amp;"x"&amp;CO20&amp;CHAR(10)&amp;ROUND(F20*AB20,0)&amp;"x"&amp;BL20&amp;"x"&amp;CV20&amp;CHAR(10)&amp;ROUND(F20*AI20,0)&amp;"x"&amp;BS20&amp;"x"&amp;DC20&amp;CHAR(10)&amp;ROUND(F20*AP20,0)&amp;"x"&amp;BZ20&amp;"x"&amp;DJ20
)))))</f>
        <v>319x4x1
361x4x4</v>
      </c>
      <c r="G65" s="10" t="str">
        <f t="shared" si="32"/>
        <v/>
      </c>
      <c r="H65" s="10" t="str">
        <f>IF(H49=0,
"",
IF(H49=1,
ROUND(H20*P20,0)&amp;"x"&amp;AZ20&amp;"x"&amp;CJ20,
IF(H49=2,
ROUND(H20*P20,0)&amp;"x"&amp;AZ20&amp;"x"&amp;CJ20&amp;CHAR(10)&amp;ROUND(H20*W20,0)&amp;"x"&amp;BG20&amp;"x"&amp;CQ20,
IF(H49=3,
ROUND(H20*P20,0)&amp;"x"&amp;AZ20&amp;"x"&amp;CJ20&amp;CHAR(10)&amp;ROUND(H20*W20,0)&amp;"x"&amp;BG20&amp;"x"&amp;CQ20&amp;CHAR(10)&amp;ROUND(H20*AD20,0)&amp;"x"&amp;BN20&amp;"x"&amp;CX20,
IF(H49=4,
ROUND(H20*P20,0)&amp;"x"&amp;AZ20&amp;"x"&amp;CJ20&amp;CHAR(10)&amp;ROUND(H20*W20,0)&amp;"x"&amp;BG20&amp;"x"&amp;CQ20&amp;CHAR(10)&amp;ROUND(H20*AD20,0)&amp;"x"&amp;BN20&amp;"x"&amp;CX20&amp;CHAR(10)&amp;ROUND(H20*AK20,0)&amp;"x"&amp;BU20&amp;"x"&amp;DE20,
ROUND(H20*P20,0)&amp;"x"&amp;AZ20&amp;"x"&amp;CJ20&amp;CHAR(10)&amp;ROUND(H20*W20,0)&amp;"x"&amp;BG20&amp;"x"&amp;CQ20&amp;CHAR(10)&amp;ROUND(H20*AD20,0)&amp;"x"&amp;BN20&amp;"x"&amp;CX20&amp;CHAR(10)&amp;ROUND(H20*AK20,0)&amp;"x"&amp;BU20&amp;"x"&amp;DE20&amp;CHAR(10)&amp;ROUND(H20*AR20,0)&amp;"x"&amp;CB20&amp;"x"&amp;DL20
)))))</f>
        <v/>
      </c>
      <c r="I65" s="10" t="str">
        <f>IF(I49=0,
"",
IF(I49=1,
ROUND(I20*Q20,0)&amp;"x"&amp;BA20&amp;"x"&amp;CK20,
IF(I49=2,
ROUND(I20*Q20,0)&amp;"x"&amp;BA20&amp;"x"&amp;CK20&amp;CHAR(10)&amp;ROUND(I20*X20,0)&amp;"x"&amp;BH20&amp;"x"&amp;CR20,
IF(I49=3,
ROUND(I20*Q20,0)&amp;"x"&amp;BA20&amp;"x"&amp;CK20&amp;CHAR(10)&amp;ROUND(I20*X20,0)&amp;"x"&amp;BH20&amp;"x"&amp;CR20&amp;CHAR(10)&amp;ROUND(I20*AE20,0)&amp;"x"&amp;BO20&amp;"x"&amp;CY20,
IF(I49=4,
ROUND(I20*Q20,0)&amp;"x"&amp;BA20&amp;"x"&amp;CK20&amp;CHAR(10)&amp;ROUND(I20*X20,0)&amp;"x"&amp;BH20&amp;"x"&amp;CR20&amp;CHAR(10)&amp;ROUND(I20*AE20,0)&amp;"x"&amp;BO20&amp;"x"&amp;CY20&amp;CHAR(10)&amp;ROUND(I20*AL20,0)&amp;"x"&amp;BV20&amp;"x"&amp;DF20,
ROUND(I20*Q20,0)&amp;"x"&amp;BA20&amp;"x"&amp;CK20&amp;CHAR(10)&amp;ROUND(I20*X20,0)&amp;"x"&amp;BH20&amp;"x"&amp;CR20&amp;CHAR(10)&amp;ROUND(I20*AE20,0)&amp;"x"&amp;BO20&amp;"x"&amp;CY20&amp;CHAR(10)&amp;ROUND(I20*AL20,0)&amp;"x"&amp;BV20&amp;"x"&amp;DF20&amp;CHAR(10)&amp;ROUND(I20*AS20,0)&amp;"x"&amp;CC20&amp;"x"&amp;DM20
)))))</f>
        <v/>
      </c>
      <c r="J65" s="12" t="s">
        <v>19</v>
      </c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</row>
    <row r="66" spans="2:47" x14ac:dyDescent="0.25"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</row>
    <row r="67" spans="2:47" x14ac:dyDescent="0.25"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</row>
    <row r="68" spans="2:47" x14ac:dyDescent="0.25"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</row>
    <row r="69" spans="2:47" x14ac:dyDescent="0.25"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</row>
    <row r="70" spans="2:47" x14ac:dyDescent="0.25"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</row>
    <row r="71" spans="2:47" x14ac:dyDescent="0.25"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</row>
    <row r="72" spans="2:47" x14ac:dyDescent="0.25"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</row>
    <row r="73" spans="2:47" x14ac:dyDescent="0.25"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</row>
    <row r="74" spans="2:47" x14ac:dyDescent="0.25"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</row>
    <row r="75" spans="2:47" x14ac:dyDescent="0.25"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</row>
    <row r="76" spans="2:47" x14ac:dyDescent="0.25"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</row>
    <row r="77" spans="2:47" x14ac:dyDescent="0.25"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</row>
    <row r="78" spans="2:47" x14ac:dyDescent="0.25"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</row>
    <row r="79" spans="2:47" x14ac:dyDescent="0.25"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</row>
    <row r="80" spans="2:47" x14ac:dyDescent="0.25"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</row>
    <row r="81" spans="12:47" x14ac:dyDescent="0.25"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</row>
    <row r="82" spans="12:47" x14ac:dyDescent="0.25"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</row>
    <row r="83" spans="12:47" x14ac:dyDescent="0.25"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</row>
    <row r="84" spans="12:47" x14ac:dyDescent="0.25"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</row>
    <row r="85" spans="12:47" x14ac:dyDescent="0.25"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</row>
    <row r="86" spans="12:47" x14ac:dyDescent="0.25"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</row>
    <row r="87" spans="12:47" x14ac:dyDescent="0.25"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</row>
    <row r="88" spans="12:47" x14ac:dyDescent="0.25"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</row>
    <row r="89" spans="12:47" x14ac:dyDescent="0.25"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</row>
    <row r="90" spans="12:47" x14ac:dyDescent="0.25"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</row>
    <row r="91" spans="12:47" x14ac:dyDescent="0.25"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</row>
    <row r="92" spans="12:47" x14ac:dyDescent="0.25"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</row>
    <row r="93" spans="12:47" x14ac:dyDescent="0.25"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</row>
    <row r="94" spans="12:47" x14ac:dyDescent="0.25"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</row>
    <row r="95" spans="12:47" x14ac:dyDescent="0.25"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</row>
    <row r="96" spans="12:47" x14ac:dyDescent="0.25"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</row>
    <row r="97" spans="12:47" x14ac:dyDescent="0.25"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</row>
    <row r="98" spans="12:47" x14ac:dyDescent="0.25"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</row>
    <row r="99" spans="12:47" x14ac:dyDescent="0.25"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</row>
    <row r="100" spans="12:47" x14ac:dyDescent="0.25"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</row>
    <row r="101" spans="12:47" x14ac:dyDescent="0.25"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</row>
    <row r="102" spans="12:47" x14ac:dyDescent="0.25"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</row>
    <row r="103" spans="12:47" x14ac:dyDescent="0.25"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</row>
    <row r="104" spans="12:47" x14ac:dyDescent="0.25"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451B5-C620-4A8C-BA79-14C97E9C3E14}">
  <dimension ref="A2:DO104"/>
  <sheetViews>
    <sheetView workbookViewId="0"/>
  </sheetViews>
  <sheetFormatPr defaultRowHeight="15" outlineLevelRow="1" outlineLevelCol="1" x14ac:dyDescent="0.25"/>
  <cols>
    <col min="2" max="2" width="10.140625" customWidth="1"/>
    <col min="11" max="11" width="3.140625" customWidth="1"/>
    <col min="12" max="46" width="4.28515625" hidden="1" customWidth="1" outlineLevel="1"/>
    <col min="47" max="47" width="4.28515625" customWidth="1" collapsed="1"/>
    <col min="48" max="82" width="3.5703125" hidden="1" customWidth="1" outlineLevel="1"/>
    <col min="83" max="83" width="3.140625" customWidth="1" collapsed="1"/>
    <col min="84" max="118" width="3.5703125" hidden="1" customWidth="1" outlineLevel="1"/>
    <col min="119" max="119" width="9.140625" collapsed="1"/>
  </cols>
  <sheetData>
    <row r="2" spans="1:118" x14ac:dyDescent="0.25">
      <c r="B2" t="s">
        <v>21</v>
      </c>
    </row>
    <row r="3" spans="1:118" x14ac:dyDescent="0.25">
      <c r="B3" s="15">
        <v>44098</v>
      </c>
    </row>
    <row r="4" spans="1:118" x14ac:dyDescent="0.25">
      <c r="B4" t="s">
        <v>22</v>
      </c>
    </row>
    <row r="5" spans="1:118" x14ac:dyDescent="0.25">
      <c r="B5" s="15">
        <f>J35</f>
        <v>44188</v>
      </c>
      <c r="L5" t="s">
        <v>15</v>
      </c>
      <c r="AV5" t="s">
        <v>16</v>
      </c>
      <c r="CF5" t="s">
        <v>16</v>
      </c>
    </row>
    <row r="6" spans="1:118" x14ac:dyDescent="0.25">
      <c r="D6" t="s">
        <v>14</v>
      </c>
      <c r="L6" s="2">
        <v>1</v>
      </c>
      <c r="M6" s="2">
        <f t="shared" ref="M6:R6" si="0">L6</f>
        <v>1</v>
      </c>
      <c r="N6" s="2">
        <f t="shared" si="0"/>
        <v>1</v>
      </c>
      <c r="O6" s="2">
        <f t="shared" si="0"/>
        <v>1</v>
      </c>
      <c r="P6" s="2">
        <f t="shared" si="0"/>
        <v>1</v>
      </c>
      <c r="Q6" s="2">
        <f t="shared" si="0"/>
        <v>1</v>
      </c>
      <c r="R6" s="2">
        <f t="shared" si="0"/>
        <v>1</v>
      </c>
      <c r="S6" s="2">
        <v>2</v>
      </c>
      <c r="T6" s="2">
        <f t="shared" ref="T6:Y6" si="1">S6</f>
        <v>2</v>
      </c>
      <c r="U6" s="2">
        <f t="shared" si="1"/>
        <v>2</v>
      </c>
      <c r="V6" s="2">
        <f t="shared" si="1"/>
        <v>2</v>
      </c>
      <c r="W6" s="2">
        <f t="shared" si="1"/>
        <v>2</v>
      </c>
      <c r="X6" s="2">
        <f t="shared" si="1"/>
        <v>2</v>
      </c>
      <c r="Y6" s="2">
        <f t="shared" si="1"/>
        <v>2</v>
      </c>
      <c r="Z6" s="2">
        <v>3</v>
      </c>
      <c r="AA6" s="2">
        <f t="shared" ref="AA6:AF6" si="2">Z6</f>
        <v>3</v>
      </c>
      <c r="AB6" s="2">
        <f t="shared" si="2"/>
        <v>3</v>
      </c>
      <c r="AC6" s="2">
        <f t="shared" si="2"/>
        <v>3</v>
      </c>
      <c r="AD6" s="2">
        <f t="shared" si="2"/>
        <v>3</v>
      </c>
      <c r="AE6" s="2">
        <f t="shared" si="2"/>
        <v>3</v>
      </c>
      <c r="AF6" s="2">
        <f t="shared" si="2"/>
        <v>3</v>
      </c>
      <c r="AG6" s="2">
        <v>4</v>
      </c>
      <c r="AH6" s="2">
        <f t="shared" ref="AH6:AM6" si="3">AG6</f>
        <v>4</v>
      </c>
      <c r="AI6" s="2">
        <f t="shared" si="3"/>
        <v>4</v>
      </c>
      <c r="AJ6" s="2">
        <f t="shared" si="3"/>
        <v>4</v>
      </c>
      <c r="AK6" s="2">
        <f t="shared" si="3"/>
        <v>4</v>
      </c>
      <c r="AL6" s="2">
        <f t="shared" si="3"/>
        <v>4</v>
      </c>
      <c r="AM6" s="2">
        <f t="shared" si="3"/>
        <v>4</v>
      </c>
      <c r="AN6" s="2">
        <v>5</v>
      </c>
      <c r="AO6" s="2">
        <f t="shared" ref="AO6:AT6" si="4">AN6</f>
        <v>5</v>
      </c>
      <c r="AP6" s="2">
        <f t="shared" si="4"/>
        <v>5</v>
      </c>
      <c r="AQ6" s="2">
        <f t="shared" si="4"/>
        <v>5</v>
      </c>
      <c r="AR6" s="2">
        <f t="shared" si="4"/>
        <v>5</v>
      </c>
      <c r="AS6" s="2">
        <f t="shared" si="4"/>
        <v>5</v>
      </c>
      <c r="AT6" s="2">
        <f t="shared" si="4"/>
        <v>5</v>
      </c>
      <c r="AV6" s="2">
        <f>L6</f>
        <v>1</v>
      </c>
      <c r="AW6" s="2">
        <f t="shared" ref="AW6:BL7" si="5">M6</f>
        <v>1</v>
      </c>
      <c r="AX6" s="2">
        <f t="shared" si="5"/>
        <v>1</v>
      </c>
      <c r="AY6" s="2">
        <f t="shared" si="5"/>
        <v>1</v>
      </c>
      <c r="AZ6" s="2">
        <f t="shared" si="5"/>
        <v>1</v>
      </c>
      <c r="BA6" s="2">
        <f t="shared" si="5"/>
        <v>1</v>
      </c>
      <c r="BB6" s="2">
        <f t="shared" si="5"/>
        <v>1</v>
      </c>
      <c r="BC6" s="2">
        <f t="shared" si="5"/>
        <v>2</v>
      </c>
      <c r="BD6" s="2">
        <f t="shared" si="5"/>
        <v>2</v>
      </c>
      <c r="BE6" s="2">
        <f t="shared" si="5"/>
        <v>2</v>
      </c>
      <c r="BF6" s="2">
        <f t="shared" si="5"/>
        <v>2</v>
      </c>
      <c r="BG6" s="2">
        <f t="shared" si="5"/>
        <v>2</v>
      </c>
      <c r="BH6" s="2">
        <f t="shared" si="5"/>
        <v>2</v>
      </c>
      <c r="BI6" s="2">
        <f t="shared" si="5"/>
        <v>2</v>
      </c>
      <c r="BJ6" s="2">
        <f t="shared" si="5"/>
        <v>3</v>
      </c>
      <c r="BK6" s="2">
        <f t="shared" si="5"/>
        <v>3</v>
      </c>
      <c r="BL6" s="2">
        <f t="shared" si="5"/>
        <v>3</v>
      </c>
      <c r="BM6" s="2">
        <f t="shared" ref="BM6:CB7" si="6">AC6</f>
        <v>3</v>
      </c>
      <c r="BN6" s="2">
        <f t="shared" si="6"/>
        <v>3</v>
      </c>
      <c r="BO6" s="2">
        <f t="shared" si="6"/>
        <v>3</v>
      </c>
      <c r="BP6" s="2">
        <f t="shared" si="6"/>
        <v>3</v>
      </c>
      <c r="BQ6" s="2">
        <f t="shared" si="6"/>
        <v>4</v>
      </c>
      <c r="BR6" s="2">
        <f t="shared" si="6"/>
        <v>4</v>
      </c>
      <c r="BS6" s="2">
        <f t="shared" si="6"/>
        <v>4</v>
      </c>
      <c r="BT6" s="2">
        <f t="shared" si="6"/>
        <v>4</v>
      </c>
      <c r="BU6" s="2">
        <f t="shared" si="6"/>
        <v>4</v>
      </c>
      <c r="BV6" s="2">
        <f t="shared" si="6"/>
        <v>4</v>
      </c>
      <c r="BW6" s="2">
        <f t="shared" si="6"/>
        <v>4</v>
      </c>
      <c r="BX6" s="2">
        <f t="shared" si="6"/>
        <v>5</v>
      </c>
      <c r="BY6" s="2">
        <f t="shared" si="6"/>
        <v>5</v>
      </c>
      <c r="BZ6" s="2">
        <f t="shared" si="6"/>
        <v>5</v>
      </c>
      <c r="CA6" s="2">
        <f t="shared" si="6"/>
        <v>5</v>
      </c>
      <c r="CB6" s="2">
        <f t="shared" si="6"/>
        <v>5</v>
      </c>
      <c r="CC6" s="2">
        <f t="shared" ref="CC6:CD7" si="7">AS6</f>
        <v>5</v>
      </c>
      <c r="CD6" s="2">
        <f t="shared" si="7"/>
        <v>5</v>
      </c>
      <c r="CF6" s="2">
        <f>L6</f>
        <v>1</v>
      </c>
      <c r="CG6" s="2">
        <f t="shared" ref="CG6:CV7" si="8">M6</f>
        <v>1</v>
      </c>
      <c r="CH6" s="2">
        <f t="shared" si="8"/>
        <v>1</v>
      </c>
      <c r="CI6" s="2">
        <f t="shared" si="8"/>
        <v>1</v>
      </c>
      <c r="CJ6" s="2">
        <f t="shared" si="8"/>
        <v>1</v>
      </c>
      <c r="CK6" s="2">
        <f t="shared" si="8"/>
        <v>1</v>
      </c>
      <c r="CL6" s="2">
        <f t="shared" si="8"/>
        <v>1</v>
      </c>
      <c r="CM6" s="2">
        <f t="shared" si="8"/>
        <v>2</v>
      </c>
      <c r="CN6" s="2">
        <f t="shared" si="8"/>
        <v>2</v>
      </c>
      <c r="CO6" s="2">
        <f t="shared" si="8"/>
        <v>2</v>
      </c>
      <c r="CP6" s="2">
        <f t="shared" si="8"/>
        <v>2</v>
      </c>
      <c r="CQ6" s="2">
        <f t="shared" si="8"/>
        <v>2</v>
      </c>
      <c r="CR6" s="2">
        <f t="shared" si="8"/>
        <v>2</v>
      </c>
      <c r="CS6" s="2">
        <f t="shared" si="8"/>
        <v>2</v>
      </c>
      <c r="CT6" s="2">
        <f t="shared" si="8"/>
        <v>3</v>
      </c>
      <c r="CU6" s="2">
        <f t="shared" si="8"/>
        <v>3</v>
      </c>
      <c r="CV6" s="2">
        <f t="shared" si="8"/>
        <v>3</v>
      </c>
      <c r="CW6" s="2">
        <f t="shared" ref="CW6:DL7" si="9">AC6</f>
        <v>3</v>
      </c>
      <c r="CX6" s="2">
        <f t="shared" si="9"/>
        <v>3</v>
      </c>
      <c r="CY6" s="2">
        <f t="shared" si="9"/>
        <v>3</v>
      </c>
      <c r="CZ6" s="2">
        <f t="shared" si="9"/>
        <v>3</v>
      </c>
      <c r="DA6" s="2">
        <f t="shared" si="9"/>
        <v>4</v>
      </c>
      <c r="DB6" s="2">
        <f t="shared" si="9"/>
        <v>4</v>
      </c>
      <c r="DC6" s="2">
        <f t="shared" si="9"/>
        <v>4</v>
      </c>
      <c r="DD6" s="2">
        <f t="shared" si="9"/>
        <v>4</v>
      </c>
      <c r="DE6" s="2">
        <f t="shared" si="9"/>
        <v>4</v>
      </c>
      <c r="DF6" s="2">
        <f t="shared" si="9"/>
        <v>4</v>
      </c>
      <c r="DG6" s="2">
        <f t="shared" si="9"/>
        <v>4</v>
      </c>
      <c r="DH6" s="2">
        <f t="shared" si="9"/>
        <v>5</v>
      </c>
      <c r="DI6" s="2">
        <f t="shared" si="9"/>
        <v>5</v>
      </c>
      <c r="DJ6" s="2">
        <f t="shared" si="9"/>
        <v>5</v>
      </c>
      <c r="DK6" s="2">
        <f t="shared" si="9"/>
        <v>5</v>
      </c>
      <c r="DL6" s="2">
        <f t="shared" si="9"/>
        <v>5</v>
      </c>
      <c r="DM6" s="2">
        <f t="shared" ref="DM6:DN7" si="10">AS6</f>
        <v>5</v>
      </c>
      <c r="DN6" s="2">
        <f t="shared" si="10"/>
        <v>5</v>
      </c>
    </row>
    <row r="7" spans="1:118" x14ac:dyDescent="0.25">
      <c r="A7" s="8" t="s">
        <v>17</v>
      </c>
      <c r="B7" s="4" t="s">
        <v>8</v>
      </c>
      <c r="C7" s="4" t="s">
        <v>7</v>
      </c>
      <c r="D7" s="4" t="s">
        <v>0</v>
      </c>
      <c r="E7" s="4" t="s">
        <v>1</v>
      </c>
      <c r="F7" s="4" t="s">
        <v>2</v>
      </c>
      <c r="G7" s="4" t="s">
        <v>3</v>
      </c>
      <c r="H7" s="4" t="s">
        <v>4</v>
      </c>
      <c r="I7" s="4" t="s">
        <v>5</v>
      </c>
      <c r="J7" s="4" t="s">
        <v>6</v>
      </c>
      <c r="L7" s="4" t="s">
        <v>0</v>
      </c>
      <c r="M7" s="4" t="s">
        <v>1</v>
      </c>
      <c r="N7" s="4" t="s">
        <v>2</v>
      </c>
      <c r="O7" s="4" t="s">
        <v>3</v>
      </c>
      <c r="P7" s="4" t="s">
        <v>4</v>
      </c>
      <c r="Q7" s="4" t="s">
        <v>5</v>
      </c>
      <c r="R7" s="4" t="s">
        <v>6</v>
      </c>
      <c r="S7" s="4" t="s">
        <v>0</v>
      </c>
      <c r="T7" s="4" t="s">
        <v>1</v>
      </c>
      <c r="U7" s="4" t="s">
        <v>2</v>
      </c>
      <c r="V7" s="4" t="s">
        <v>3</v>
      </c>
      <c r="W7" s="4" t="s">
        <v>4</v>
      </c>
      <c r="X7" s="4" t="s">
        <v>5</v>
      </c>
      <c r="Y7" s="4" t="s">
        <v>6</v>
      </c>
      <c r="Z7" s="4" t="s">
        <v>0</v>
      </c>
      <c r="AA7" s="4" t="s">
        <v>1</v>
      </c>
      <c r="AB7" s="4" t="s">
        <v>2</v>
      </c>
      <c r="AC7" s="4" t="s">
        <v>3</v>
      </c>
      <c r="AD7" s="4" t="s">
        <v>4</v>
      </c>
      <c r="AE7" s="4" t="s">
        <v>5</v>
      </c>
      <c r="AF7" s="4" t="s">
        <v>6</v>
      </c>
      <c r="AG7" s="4" t="s">
        <v>0</v>
      </c>
      <c r="AH7" s="4" t="s">
        <v>1</v>
      </c>
      <c r="AI7" s="4" t="s">
        <v>2</v>
      </c>
      <c r="AJ7" s="4" t="s">
        <v>3</v>
      </c>
      <c r="AK7" s="4" t="s">
        <v>4</v>
      </c>
      <c r="AL7" s="4" t="s">
        <v>5</v>
      </c>
      <c r="AM7" s="4" t="s">
        <v>6</v>
      </c>
      <c r="AN7" s="4" t="s">
        <v>0</v>
      </c>
      <c r="AO7" s="4" t="s">
        <v>1</v>
      </c>
      <c r="AP7" s="4" t="s">
        <v>2</v>
      </c>
      <c r="AQ7" s="4" t="s">
        <v>3</v>
      </c>
      <c r="AR7" s="4" t="s">
        <v>4</v>
      </c>
      <c r="AS7" s="4" t="s">
        <v>5</v>
      </c>
      <c r="AT7" s="4" t="s">
        <v>6</v>
      </c>
      <c r="AV7" s="4" t="str">
        <f t="shared" ref="AV7" si="11">L7</f>
        <v>M</v>
      </c>
      <c r="AW7" s="4" t="str">
        <f t="shared" si="5"/>
        <v>T</v>
      </c>
      <c r="AX7" s="4" t="str">
        <f t="shared" si="5"/>
        <v>W</v>
      </c>
      <c r="AY7" s="4" t="str">
        <f t="shared" si="5"/>
        <v>H</v>
      </c>
      <c r="AZ7" s="4" t="str">
        <f t="shared" si="5"/>
        <v>F</v>
      </c>
      <c r="BA7" s="4" t="str">
        <f t="shared" si="5"/>
        <v>Sa</v>
      </c>
      <c r="BB7" s="4" t="str">
        <f t="shared" si="5"/>
        <v>Su</v>
      </c>
      <c r="BC7" s="4" t="str">
        <f t="shared" si="5"/>
        <v>M</v>
      </c>
      <c r="BD7" s="4" t="str">
        <f t="shared" si="5"/>
        <v>T</v>
      </c>
      <c r="BE7" s="4" t="str">
        <f t="shared" si="5"/>
        <v>W</v>
      </c>
      <c r="BF7" s="4" t="str">
        <f t="shared" si="5"/>
        <v>H</v>
      </c>
      <c r="BG7" s="4" t="str">
        <f t="shared" si="5"/>
        <v>F</v>
      </c>
      <c r="BH7" s="4" t="str">
        <f t="shared" si="5"/>
        <v>Sa</v>
      </c>
      <c r="BI7" s="4" t="str">
        <f t="shared" si="5"/>
        <v>Su</v>
      </c>
      <c r="BJ7" s="4" t="str">
        <f t="shared" si="5"/>
        <v>M</v>
      </c>
      <c r="BK7" s="4" t="str">
        <f t="shared" si="5"/>
        <v>T</v>
      </c>
      <c r="BL7" s="4" t="str">
        <f t="shared" si="5"/>
        <v>W</v>
      </c>
      <c r="BM7" s="4" t="str">
        <f t="shared" si="6"/>
        <v>H</v>
      </c>
      <c r="BN7" s="4" t="str">
        <f t="shared" si="6"/>
        <v>F</v>
      </c>
      <c r="BO7" s="4" t="str">
        <f t="shared" si="6"/>
        <v>Sa</v>
      </c>
      <c r="BP7" s="4" t="str">
        <f t="shared" si="6"/>
        <v>Su</v>
      </c>
      <c r="BQ7" s="4" t="str">
        <f t="shared" si="6"/>
        <v>M</v>
      </c>
      <c r="BR7" s="4" t="str">
        <f t="shared" si="6"/>
        <v>T</v>
      </c>
      <c r="BS7" s="4" t="str">
        <f t="shared" si="6"/>
        <v>W</v>
      </c>
      <c r="BT7" s="4" t="str">
        <f t="shared" si="6"/>
        <v>H</v>
      </c>
      <c r="BU7" s="4" t="str">
        <f t="shared" si="6"/>
        <v>F</v>
      </c>
      <c r="BV7" s="4" t="str">
        <f t="shared" si="6"/>
        <v>Sa</v>
      </c>
      <c r="BW7" s="4" t="str">
        <f t="shared" si="6"/>
        <v>Su</v>
      </c>
      <c r="BX7" s="4" t="str">
        <f t="shared" si="6"/>
        <v>M</v>
      </c>
      <c r="BY7" s="4" t="str">
        <f t="shared" si="6"/>
        <v>T</v>
      </c>
      <c r="BZ7" s="4" t="str">
        <f t="shared" si="6"/>
        <v>W</v>
      </c>
      <c r="CA7" s="4" t="str">
        <f t="shared" si="6"/>
        <v>H</v>
      </c>
      <c r="CB7" s="4" t="str">
        <f t="shared" si="6"/>
        <v>F</v>
      </c>
      <c r="CC7" s="4" t="str">
        <f t="shared" si="7"/>
        <v>Sa</v>
      </c>
      <c r="CD7" s="4" t="str">
        <f t="shared" si="7"/>
        <v>Su</v>
      </c>
      <c r="CF7" s="4" t="str">
        <f t="shared" ref="CF7" si="12">L7</f>
        <v>M</v>
      </c>
      <c r="CG7" s="4" t="str">
        <f t="shared" si="8"/>
        <v>T</v>
      </c>
      <c r="CH7" s="4" t="str">
        <f t="shared" si="8"/>
        <v>W</v>
      </c>
      <c r="CI7" s="4" t="str">
        <f t="shared" si="8"/>
        <v>H</v>
      </c>
      <c r="CJ7" s="4" t="str">
        <f t="shared" si="8"/>
        <v>F</v>
      </c>
      <c r="CK7" s="4" t="str">
        <f t="shared" si="8"/>
        <v>Sa</v>
      </c>
      <c r="CL7" s="4" t="str">
        <f t="shared" si="8"/>
        <v>Su</v>
      </c>
      <c r="CM7" s="4" t="str">
        <f t="shared" si="8"/>
        <v>M</v>
      </c>
      <c r="CN7" s="4" t="str">
        <f t="shared" si="8"/>
        <v>T</v>
      </c>
      <c r="CO7" s="4" t="str">
        <f t="shared" si="8"/>
        <v>W</v>
      </c>
      <c r="CP7" s="4" t="str">
        <f t="shared" si="8"/>
        <v>H</v>
      </c>
      <c r="CQ7" s="4" t="str">
        <f t="shared" si="8"/>
        <v>F</v>
      </c>
      <c r="CR7" s="4" t="str">
        <f t="shared" si="8"/>
        <v>Sa</v>
      </c>
      <c r="CS7" s="4" t="str">
        <f t="shared" si="8"/>
        <v>Su</v>
      </c>
      <c r="CT7" s="4" t="str">
        <f t="shared" si="8"/>
        <v>M</v>
      </c>
      <c r="CU7" s="4" t="str">
        <f t="shared" si="8"/>
        <v>T</v>
      </c>
      <c r="CV7" s="4" t="str">
        <f t="shared" si="8"/>
        <v>W</v>
      </c>
      <c r="CW7" s="4" t="str">
        <f t="shared" si="9"/>
        <v>H</v>
      </c>
      <c r="CX7" s="4" t="str">
        <f t="shared" si="9"/>
        <v>F</v>
      </c>
      <c r="CY7" s="4" t="str">
        <f t="shared" si="9"/>
        <v>Sa</v>
      </c>
      <c r="CZ7" s="4" t="str">
        <f t="shared" si="9"/>
        <v>Su</v>
      </c>
      <c r="DA7" s="4" t="str">
        <f t="shared" si="9"/>
        <v>M</v>
      </c>
      <c r="DB7" s="4" t="str">
        <f t="shared" si="9"/>
        <v>T</v>
      </c>
      <c r="DC7" s="4" t="str">
        <f t="shared" si="9"/>
        <v>W</v>
      </c>
      <c r="DD7" s="4" t="str">
        <f t="shared" si="9"/>
        <v>H</v>
      </c>
      <c r="DE7" s="4" t="str">
        <f t="shared" si="9"/>
        <v>F</v>
      </c>
      <c r="DF7" s="4" t="str">
        <f t="shared" si="9"/>
        <v>Sa</v>
      </c>
      <c r="DG7" s="4" t="str">
        <f t="shared" si="9"/>
        <v>Su</v>
      </c>
      <c r="DH7" s="4" t="str">
        <f t="shared" si="9"/>
        <v>M</v>
      </c>
      <c r="DI7" s="4" t="str">
        <f t="shared" si="9"/>
        <v>T</v>
      </c>
      <c r="DJ7" s="4" t="str">
        <f t="shared" si="9"/>
        <v>W</v>
      </c>
      <c r="DK7" s="4" t="str">
        <f t="shared" si="9"/>
        <v>H</v>
      </c>
      <c r="DL7" s="4" t="str">
        <f t="shared" si="9"/>
        <v>F</v>
      </c>
      <c r="DM7" s="4" t="str">
        <f t="shared" si="10"/>
        <v>Sa</v>
      </c>
      <c r="DN7" s="4" t="str">
        <f t="shared" si="10"/>
        <v>Su</v>
      </c>
    </row>
    <row r="8" spans="1:118" x14ac:dyDescent="0.25">
      <c r="B8" s="7" t="s">
        <v>9</v>
      </c>
      <c r="C8" s="2">
        <v>1</v>
      </c>
      <c r="D8" s="5">
        <v>395</v>
      </c>
      <c r="E8" s="5">
        <v>395</v>
      </c>
      <c r="F8" s="5">
        <v>395</v>
      </c>
      <c r="G8" s="5">
        <v>395</v>
      </c>
      <c r="H8" s="5">
        <v>395</v>
      </c>
      <c r="I8" s="5">
        <v>395</v>
      </c>
      <c r="J8" s="5">
        <v>395</v>
      </c>
      <c r="L8" s="3">
        <v>0.65</v>
      </c>
      <c r="M8" s="3">
        <v>0.65</v>
      </c>
      <c r="N8" s="3">
        <v>0.7</v>
      </c>
      <c r="O8" s="3"/>
      <c r="P8" s="3"/>
      <c r="Q8" s="3"/>
      <c r="R8" s="3"/>
      <c r="S8" s="3">
        <v>0.7</v>
      </c>
      <c r="T8" s="3">
        <v>0.7</v>
      </c>
      <c r="U8" s="3">
        <v>0.75</v>
      </c>
      <c r="V8" s="3"/>
      <c r="W8" s="3"/>
      <c r="X8" s="3"/>
      <c r="Y8" s="3"/>
      <c r="Z8" s="3">
        <v>0.75</v>
      </c>
      <c r="AA8" s="3">
        <v>0.75</v>
      </c>
      <c r="AB8" s="3">
        <v>0.8</v>
      </c>
      <c r="AC8" s="3"/>
      <c r="AD8" s="3"/>
      <c r="AE8" s="3"/>
      <c r="AF8" s="3"/>
      <c r="AG8" s="3">
        <v>0.8</v>
      </c>
      <c r="AH8" s="3">
        <v>0.8</v>
      </c>
      <c r="AI8" s="3">
        <v>0.9</v>
      </c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V8">
        <v>8</v>
      </c>
      <c r="AW8">
        <v>8</v>
      </c>
      <c r="AX8">
        <v>5</v>
      </c>
      <c r="BC8">
        <v>5</v>
      </c>
      <c r="BD8">
        <v>5</v>
      </c>
      <c r="BE8">
        <v>3</v>
      </c>
      <c r="BJ8">
        <v>2</v>
      </c>
      <c r="BK8">
        <v>2</v>
      </c>
      <c r="BL8">
        <v>2</v>
      </c>
      <c r="BQ8">
        <v>1</v>
      </c>
      <c r="BR8">
        <v>1</v>
      </c>
      <c r="BS8">
        <v>1</v>
      </c>
      <c r="CF8">
        <v>3</v>
      </c>
      <c r="CG8">
        <v>3</v>
      </c>
      <c r="CH8">
        <v>4</v>
      </c>
      <c r="CM8">
        <v>1</v>
      </c>
      <c r="CN8">
        <v>1</v>
      </c>
      <c r="CO8">
        <v>1</v>
      </c>
      <c r="CT8">
        <v>2</v>
      </c>
      <c r="CU8">
        <v>2</v>
      </c>
      <c r="CV8">
        <v>2</v>
      </c>
      <c r="DA8">
        <v>1</v>
      </c>
      <c r="DB8">
        <v>1</v>
      </c>
      <c r="DC8">
        <v>1</v>
      </c>
    </row>
    <row r="9" spans="1:118" x14ac:dyDescent="0.25">
      <c r="B9" s="7" t="s">
        <v>9</v>
      </c>
      <c r="C9" s="2">
        <f>C8+1</f>
        <v>2</v>
      </c>
      <c r="D9" s="1">
        <v>395</v>
      </c>
      <c r="E9" s="1">
        <v>395</v>
      </c>
      <c r="F9" s="1">
        <v>395</v>
      </c>
      <c r="G9" s="1">
        <v>395</v>
      </c>
      <c r="H9" s="1">
        <v>395</v>
      </c>
      <c r="I9" s="1">
        <v>395</v>
      </c>
      <c r="J9" s="1">
        <v>395</v>
      </c>
      <c r="L9" s="3">
        <v>0.8</v>
      </c>
      <c r="M9" s="3"/>
      <c r="N9" s="3">
        <v>0.82499999999999996</v>
      </c>
      <c r="O9" s="3"/>
      <c r="P9" s="3">
        <v>0.85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>
        <v>5</v>
      </c>
      <c r="AX9">
        <v>5</v>
      </c>
      <c r="AZ9">
        <v>5</v>
      </c>
      <c r="CF9">
        <v>1</v>
      </c>
      <c r="CH9">
        <v>1</v>
      </c>
      <c r="CJ9">
        <v>1</v>
      </c>
    </row>
    <row r="10" spans="1:118" x14ac:dyDescent="0.25">
      <c r="A10">
        <v>10</v>
      </c>
      <c r="B10" s="7" t="s">
        <v>10</v>
      </c>
      <c r="C10" s="2">
        <f t="shared" ref="C10:C20" si="13">C9+1</f>
        <v>3</v>
      </c>
      <c r="D10" s="1">
        <f t="shared" ref="D10:J15" si="14">D9+$A10</f>
        <v>405</v>
      </c>
      <c r="E10" s="1">
        <f t="shared" si="14"/>
        <v>405</v>
      </c>
      <c r="F10" s="1">
        <f t="shared" si="14"/>
        <v>405</v>
      </c>
      <c r="G10" s="1">
        <f t="shared" si="14"/>
        <v>405</v>
      </c>
      <c r="H10" s="1">
        <f t="shared" si="14"/>
        <v>405</v>
      </c>
      <c r="I10" s="1">
        <f t="shared" si="14"/>
        <v>405</v>
      </c>
      <c r="J10" s="1">
        <f t="shared" si="14"/>
        <v>405</v>
      </c>
      <c r="L10" s="3">
        <v>0.7</v>
      </c>
      <c r="M10" s="3"/>
      <c r="N10" s="3">
        <v>0.75</v>
      </c>
      <c r="O10" s="3"/>
      <c r="P10" s="3">
        <v>0.8</v>
      </c>
      <c r="Q10" s="3">
        <v>0.85</v>
      </c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>
        <v>9</v>
      </c>
      <c r="AX10">
        <v>7</v>
      </c>
      <c r="AZ10">
        <v>5</v>
      </c>
      <c r="BA10">
        <v>3</v>
      </c>
      <c r="CF10">
        <v>4</v>
      </c>
      <c r="CH10">
        <v>5</v>
      </c>
      <c r="CJ10">
        <v>7</v>
      </c>
      <c r="CK10">
        <v>10</v>
      </c>
    </row>
    <row r="11" spans="1:118" x14ac:dyDescent="0.25">
      <c r="A11">
        <v>10</v>
      </c>
      <c r="B11" s="7" t="s">
        <v>10</v>
      </c>
      <c r="C11" s="2">
        <f t="shared" si="13"/>
        <v>4</v>
      </c>
      <c r="D11" s="1">
        <f t="shared" si="14"/>
        <v>415</v>
      </c>
      <c r="E11" s="1">
        <f t="shared" si="14"/>
        <v>415</v>
      </c>
      <c r="F11" s="1">
        <f t="shared" si="14"/>
        <v>415</v>
      </c>
      <c r="G11" s="1">
        <f t="shared" si="14"/>
        <v>415</v>
      </c>
      <c r="H11" s="1">
        <f t="shared" si="14"/>
        <v>415</v>
      </c>
      <c r="I11" s="1">
        <f t="shared" si="14"/>
        <v>415</v>
      </c>
      <c r="J11" s="1">
        <f t="shared" si="14"/>
        <v>415</v>
      </c>
      <c r="L11" s="3">
        <v>0.7</v>
      </c>
      <c r="M11" s="3"/>
      <c r="N11" s="3">
        <v>0.75</v>
      </c>
      <c r="O11" s="3"/>
      <c r="P11" s="3">
        <v>0.8</v>
      </c>
      <c r="Q11" s="3">
        <v>0.85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>
        <v>9</v>
      </c>
      <c r="AX11">
        <v>7</v>
      </c>
      <c r="AZ11">
        <v>5</v>
      </c>
      <c r="BA11">
        <v>3</v>
      </c>
      <c r="CF11">
        <v>4</v>
      </c>
      <c r="CH11">
        <v>5</v>
      </c>
      <c r="CJ11">
        <v>7</v>
      </c>
      <c r="CK11">
        <v>10</v>
      </c>
    </row>
    <row r="12" spans="1:118" x14ac:dyDescent="0.25">
      <c r="B12" s="7" t="s">
        <v>10</v>
      </c>
      <c r="C12" s="2">
        <f t="shared" si="13"/>
        <v>5</v>
      </c>
      <c r="D12" s="1">
        <f t="shared" si="14"/>
        <v>415</v>
      </c>
      <c r="E12" s="1">
        <f t="shared" si="14"/>
        <v>415</v>
      </c>
      <c r="F12" s="1">
        <f t="shared" si="14"/>
        <v>415</v>
      </c>
      <c r="G12" s="1">
        <f t="shared" si="14"/>
        <v>415</v>
      </c>
      <c r="H12" s="1">
        <f t="shared" si="14"/>
        <v>415</v>
      </c>
      <c r="I12" s="1">
        <f t="shared" si="14"/>
        <v>415</v>
      </c>
      <c r="J12" s="1">
        <f t="shared" si="14"/>
        <v>415</v>
      </c>
      <c r="L12" s="3">
        <v>0.7</v>
      </c>
      <c r="M12" s="3"/>
      <c r="N12" s="3">
        <v>0.75</v>
      </c>
      <c r="O12" s="3"/>
      <c r="P12" s="3">
        <v>0.8</v>
      </c>
      <c r="Q12" s="3">
        <v>0.85</v>
      </c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>
        <v>9</v>
      </c>
      <c r="AX12">
        <v>7</v>
      </c>
      <c r="AZ12">
        <v>5</v>
      </c>
      <c r="BA12">
        <v>3</v>
      </c>
      <c r="CF12">
        <v>4</v>
      </c>
      <c r="CH12">
        <v>5</v>
      </c>
      <c r="CJ12">
        <v>7</v>
      </c>
      <c r="CK12">
        <v>10</v>
      </c>
    </row>
    <row r="13" spans="1:118" x14ac:dyDescent="0.25">
      <c r="B13" s="7" t="s">
        <v>10</v>
      </c>
      <c r="C13" s="2">
        <f t="shared" si="13"/>
        <v>6</v>
      </c>
      <c r="D13" s="1">
        <f t="shared" si="14"/>
        <v>415</v>
      </c>
      <c r="E13" s="1">
        <f t="shared" si="14"/>
        <v>415</v>
      </c>
      <c r="F13" s="1">
        <f t="shared" si="14"/>
        <v>415</v>
      </c>
      <c r="G13" s="1">
        <f t="shared" si="14"/>
        <v>415</v>
      </c>
      <c r="H13" s="1">
        <f t="shared" si="14"/>
        <v>415</v>
      </c>
      <c r="I13" s="1">
        <f t="shared" si="14"/>
        <v>415</v>
      </c>
      <c r="J13" s="1">
        <f t="shared" si="14"/>
        <v>415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</row>
    <row r="14" spans="1:118" x14ac:dyDescent="0.25">
      <c r="B14" s="7" t="s">
        <v>11</v>
      </c>
      <c r="C14" s="2">
        <f t="shared" si="13"/>
        <v>7</v>
      </c>
      <c r="D14" s="1">
        <f t="shared" si="14"/>
        <v>415</v>
      </c>
      <c r="E14" s="1">
        <f t="shared" si="14"/>
        <v>415</v>
      </c>
      <c r="F14" s="1">
        <f t="shared" si="14"/>
        <v>415</v>
      </c>
      <c r="G14" s="1">
        <f t="shared" si="14"/>
        <v>415</v>
      </c>
      <c r="H14" s="1">
        <f t="shared" si="14"/>
        <v>415</v>
      </c>
      <c r="I14" s="1">
        <f t="shared" si="14"/>
        <v>415</v>
      </c>
      <c r="J14" s="1">
        <f t="shared" si="14"/>
        <v>415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</row>
    <row r="15" spans="1:118" x14ac:dyDescent="0.25">
      <c r="B15" s="7" t="s">
        <v>11</v>
      </c>
      <c r="C15" s="2">
        <f t="shared" si="13"/>
        <v>8</v>
      </c>
      <c r="D15" s="1">
        <f t="shared" si="14"/>
        <v>415</v>
      </c>
      <c r="E15" s="1">
        <f t="shared" si="14"/>
        <v>415</v>
      </c>
      <c r="F15" s="1">
        <f t="shared" si="14"/>
        <v>415</v>
      </c>
      <c r="G15" s="1">
        <f t="shared" si="14"/>
        <v>415</v>
      </c>
      <c r="H15" s="1">
        <f t="shared" si="14"/>
        <v>415</v>
      </c>
      <c r="I15" s="1">
        <f t="shared" si="14"/>
        <v>415</v>
      </c>
      <c r="J15" s="1">
        <f t="shared" si="14"/>
        <v>415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</row>
    <row r="16" spans="1:118" x14ac:dyDescent="0.25">
      <c r="B16" s="7" t="s">
        <v>12</v>
      </c>
      <c r="C16" s="2">
        <f t="shared" si="13"/>
        <v>9</v>
      </c>
      <c r="D16" s="1">
        <v>425</v>
      </c>
      <c r="E16" s="1">
        <v>425</v>
      </c>
      <c r="F16" s="1">
        <v>425</v>
      </c>
      <c r="G16" s="1">
        <v>425</v>
      </c>
      <c r="H16" s="1">
        <v>425</v>
      </c>
      <c r="I16" s="1">
        <v>425</v>
      </c>
      <c r="J16" s="1">
        <v>425</v>
      </c>
      <c r="L16" s="3">
        <v>0.65</v>
      </c>
      <c r="M16" s="3"/>
      <c r="N16" s="3">
        <v>0.6</v>
      </c>
      <c r="O16" s="3"/>
      <c r="P16" s="3"/>
      <c r="Q16" s="3">
        <v>0.65</v>
      </c>
      <c r="R16" s="3"/>
      <c r="S16" s="3">
        <v>0.75</v>
      </c>
      <c r="T16" s="3"/>
      <c r="U16" s="3">
        <v>0.7</v>
      </c>
      <c r="V16" s="3"/>
      <c r="W16" s="3"/>
      <c r="X16" s="3">
        <v>0.7</v>
      </c>
      <c r="Y16" s="3"/>
      <c r="Z16" s="3">
        <v>0.85</v>
      </c>
      <c r="AA16" s="3"/>
      <c r="AB16" s="3">
        <v>0.8</v>
      </c>
      <c r="AC16" s="3"/>
      <c r="AD16" s="3"/>
      <c r="AE16" s="3">
        <v>0.8</v>
      </c>
      <c r="AF16" s="3"/>
      <c r="AG16" s="3">
        <v>0.85</v>
      </c>
      <c r="AH16" s="3"/>
      <c r="AI16" s="3">
        <v>0.9</v>
      </c>
      <c r="AJ16" s="3"/>
      <c r="AK16" s="3"/>
      <c r="AL16" s="3"/>
      <c r="AM16" s="3"/>
      <c r="AN16" s="3"/>
      <c r="AO16" s="3"/>
      <c r="AP16" s="3">
        <v>0.85</v>
      </c>
      <c r="AQ16" s="3"/>
      <c r="AR16" s="3"/>
      <c r="AS16" s="3"/>
      <c r="AT16" s="3"/>
      <c r="AU16" s="3"/>
      <c r="AV16">
        <v>3</v>
      </c>
      <c r="AX16">
        <v>3</v>
      </c>
      <c r="BA16">
        <v>4</v>
      </c>
      <c r="BC16">
        <v>4</v>
      </c>
      <c r="BE16">
        <v>3</v>
      </c>
      <c r="BH16">
        <v>4</v>
      </c>
      <c r="BJ16">
        <v>4</v>
      </c>
      <c r="BL16">
        <v>4</v>
      </c>
      <c r="BO16">
        <v>4</v>
      </c>
      <c r="BQ16">
        <v>5</v>
      </c>
      <c r="BS16">
        <v>3</v>
      </c>
      <c r="BZ16">
        <v>5</v>
      </c>
      <c r="CF16">
        <v>1</v>
      </c>
      <c r="CH16">
        <v>1</v>
      </c>
      <c r="CK16">
        <v>1</v>
      </c>
      <c r="CM16">
        <v>1</v>
      </c>
      <c r="CO16">
        <v>1</v>
      </c>
      <c r="CR16">
        <v>1</v>
      </c>
      <c r="CT16">
        <v>3</v>
      </c>
      <c r="CV16">
        <v>1</v>
      </c>
      <c r="CY16">
        <v>5</v>
      </c>
      <c r="DA16">
        <v>1</v>
      </c>
      <c r="DC16">
        <v>1</v>
      </c>
      <c r="DJ16">
        <v>2</v>
      </c>
    </row>
    <row r="17" spans="2:114" x14ac:dyDescent="0.25">
      <c r="B17" s="7" t="s">
        <v>12</v>
      </c>
      <c r="C17" s="2">
        <f t="shared" si="13"/>
        <v>10</v>
      </c>
      <c r="D17" s="1">
        <v>425</v>
      </c>
      <c r="E17" s="1">
        <v>425</v>
      </c>
      <c r="F17" s="1">
        <v>425</v>
      </c>
      <c r="G17" s="1">
        <v>425</v>
      </c>
      <c r="H17" s="1">
        <v>425</v>
      </c>
      <c r="I17" s="1">
        <v>425</v>
      </c>
      <c r="J17" s="1">
        <v>425</v>
      </c>
      <c r="L17" s="3">
        <v>0.6</v>
      </c>
      <c r="M17" s="3"/>
      <c r="N17" s="3">
        <v>0.65</v>
      </c>
      <c r="O17" s="3"/>
      <c r="P17" s="3"/>
      <c r="Q17" s="3">
        <v>0.65</v>
      </c>
      <c r="R17" s="3"/>
      <c r="S17" s="3">
        <v>0.7</v>
      </c>
      <c r="T17" s="3"/>
      <c r="U17" s="3">
        <v>0.75</v>
      </c>
      <c r="V17" s="3"/>
      <c r="W17" s="3"/>
      <c r="X17" s="3">
        <v>0.75</v>
      </c>
      <c r="Y17" s="3"/>
      <c r="Z17" s="3">
        <v>0.8</v>
      </c>
      <c r="AA17" s="3"/>
      <c r="AB17" s="3">
        <v>0.85</v>
      </c>
      <c r="AC17" s="3"/>
      <c r="AD17" s="3"/>
      <c r="AE17" s="3">
        <v>0.85</v>
      </c>
      <c r="AF17" s="3"/>
      <c r="AG17" s="3">
        <v>0.9</v>
      </c>
      <c r="AH17" s="3"/>
      <c r="AI17" s="3">
        <v>0.9</v>
      </c>
      <c r="AJ17" s="3"/>
      <c r="AK17" s="3"/>
      <c r="AL17" s="3">
        <v>0.9</v>
      </c>
      <c r="AM17" s="3"/>
      <c r="AN17" s="3">
        <v>0.9</v>
      </c>
      <c r="AO17" s="3"/>
      <c r="AP17" s="3">
        <v>0.95</v>
      </c>
      <c r="AQ17" s="3"/>
      <c r="AR17" s="3"/>
      <c r="AS17" s="3"/>
      <c r="AT17" s="3"/>
      <c r="AU17" s="3"/>
      <c r="AV17">
        <v>4</v>
      </c>
      <c r="AX17">
        <v>3</v>
      </c>
      <c r="BA17">
        <v>3</v>
      </c>
      <c r="BC17">
        <v>4</v>
      </c>
      <c r="BE17">
        <v>3</v>
      </c>
      <c r="BH17">
        <v>3</v>
      </c>
      <c r="BJ17">
        <v>4</v>
      </c>
      <c r="BL17">
        <v>3</v>
      </c>
      <c r="BO17">
        <v>4</v>
      </c>
      <c r="BQ17">
        <v>3</v>
      </c>
      <c r="BS17">
        <v>3</v>
      </c>
      <c r="BV17">
        <v>5</v>
      </c>
      <c r="BX17">
        <v>4</v>
      </c>
      <c r="BZ17">
        <v>3</v>
      </c>
      <c r="CF17">
        <v>1</v>
      </c>
      <c r="CH17">
        <v>1</v>
      </c>
      <c r="CK17">
        <v>1</v>
      </c>
      <c r="CM17">
        <v>1</v>
      </c>
      <c r="CO17">
        <v>1</v>
      </c>
      <c r="CR17">
        <v>1</v>
      </c>
      <c r="CT17">
        <v>1</v>
      </c>
      <c r="CV17">
        <v>1</v>
      </c>
      <c r="CY17">
        <v>1</v>
      </c>
      <c r="DA17">
        <v>1</v>
      </c>
      <c r="DC17">
        <v>3</v>
      </c>
      <c r="DF17">
        <v>4</v>
      </c>
      <c r="DH17">
        <v>2</v>
      </c>
      <c r="DJ17">
        <v>1</v>
      </c>
    </row>
    <row r="18" spans="2:114" x14ac:dyDescent="0.25">
      <c r="B18" s="7" t="s">
        <v>12</v>
      </c>
      <c r="C18" s="2">
        <f t="shared" si="13"/>
        <v>11</v>
      </c>
      <c r="D18" s="1">
        <v>425</v>
      </c>
      <c r="E18" s="1">
        <v>425</v>
      </c>
      <c r="F18" s="1">
        <v>425</v>
      </c>
      <c r="G18" s="1">
        <v>425</v>
      </c>
      <c r="H18" s="1">
        <v>425</v>
      </c>
      <c r="I18" s="1">
        <v>425</v>
      </c>
      <c r="J18" s="1">
        <v>425</v>
      </c>
      <c r="L18" s="3">
        <v>0.6</v>
      </c>
      <c r="M18" s="3"/>
      <c r="N18" s="3">
        <v>0.6</v>
      </c>
      <c r="O18" s="3"/>
      <c r="P18" s="3"/>
      <c r="Q18" s="3">
        <v>0.65</v>
      </c>
      <c r="R18" s="3"/>
      <c r="S18" s="3">
        <v>0.7</v>
      </c>
      <c r="T18" s="3"/>
      <c r="U18" s="3">
        <v>0.7</v>
      </c>
      <c r="V18" s="3"/>
      <c r="W18" s="3"/>
      <c r="X18" s="3">
        <v>0.75</v>
      </c>
      <c r="Y18" s="3"/>
      <c r="Z18" s="3">
        <v>0.8</v>
      </c>
      <c r="AA18" s="3"/>
      <c r="AB18" s="3">
        <v>0.8</v>
      </c>
      <c r="AC18" s="3"/>
      <c r="AD18" s="3"/>
      <c r="AE18" s="3">
        <v>0.85</v>
      </c>
      <c r="AF18" s="3"/>
      <c r="AG18" s="3">
        <v>0.9</v>
      </c>
      <c r="AH18" s="3"/>
      <c r="AI18" s="3">
        <v>0.95</v>
      </c>
      <c r="AJ18" s="3"/>
      <c r="AK18" s="3"/>
      <c r="AL18" s="3">
        <v>0.95</v>
      </c>
      <c r="AM18" s="3"/>
      <c r="AN18" s="3"/>
      <c r="AO18" s="3"/>
      <c r="AP18" s="3"/>
      <c r="AQ18" s="3"/>
      <c r="AR18" s="3"/>
      <c r="AS18" s="3"/>
      <c r="AT18" s="3"/>
      <c r="AU18" s="3"/>
      <c r="AV18">
        <v>3</v>
      </c>
      <c r="AX18">
        <v>3</v>
      </c>
      <c r="BA18">
        <v>3</v>
      </c>
      <c r="BC18">
        <v>3</v>
      </c>
      <c r="BE18">
        <v>3</v>
      </c>
      <c r="BH18">
        <v>3</v>
      </c>
      <c r="BJ18">
        <v>3</v>
      </c>
      <c r="BL18">
        <v>3</v>
      </c>
      <c r="BO18">
        <v>3</v>
      </c>
      <c r="BQ18">
        <v>5</v>
      </c>
      <c r="BS18">
        <v>3</v>
      </c>
      <c r="BV18">
        <v>3</v>
      </c>
      <c r="CF18">
        <v>1</v>
      </c>
      <c r="CH18">
        <v>1</v>
      </c>
      <c r="CK18">
        <v>1</v>
      </c>
      <c r="CM18">
        <v>1</v>
      </c>
      <c r="CO18">
        <v>1</v>
      </c>
      <c r="CR18">
        <v>1</v>
      </c>
      <c r="CT18">
        <v>1</v>
      </c>
      <c r="CV18">
        <v>1</v>
      </c>
      <c r="CY18">
        <v>1</v>
      </c>
      <c r="DA18">
        <v>5</v>
      </c>
      <c r="DC18">
        <v>2</v>
      </c>
      <c r="DF18">
        <v>4</v>
      </c>
    </row>
    <row r="19" spans="2:114" x14ac:dyDescent="0.25">
      <c r="B19" s="7" t="s">
        <v>12</v>
      </c>
      <c r="C19" s="2">
        <f t="shared" si="13"/>
        <v>12</v>
      </c>
      <c r="D19" s="1">
        <v>425</v>
      </c>
      <c r="E19" s="1">
        <v>425</v>
      </c>
      <c r="F19" s="1">
        <v>425</v>
      </c>
      <c r="G19" s="1">
        <v>425</v>
      </c>
      <c r="H19" s="1">
        <v>425</v>
      </c>
      <c r="I19" s="1">
        <v>425</v>
      </c>
      <c r="J19" s="1">
        <v>425</v>
      </c>
      <c r="L19" s="3">
        <v>0.7</v>
      </c>
      <c r="M19" s="3"/>
      <c r="N19" s="3">
        <v>0.7</v>
      </c>
      <c r="O19" s="3"/>
      <c r="P19" s="3"/>
      <c r="Q19" s="3">
        <v>0.75</v>
      </c>
      <c r="R19" s="3"/>
      <c r="S19" s="3">
        <v>0.8</v>
      </c>
      <c r="T19" s="3"/>
      <c r="U19" s="3">
        <v>0.8</v>
      </c>
      <c r="V19" s="3"/>
      <c r="W19" s="3"/>
      <c r="X19" s="3">
        <v>0.9</v>
      </c>
      <c r="Y19" s="3"/>
      <c r="Z19" s="3">
        <v>0.9</v>
      </c>
      <c r="AA19" s="3"/>
      <c r="AB19" s="3">
        <v>0.95</v>
      </c>
      <c r="AC19" s="3"/>
      <c r="AD19" s="3"/>
      <c r="AE19" s="3">
        <v>0.95</v>
      </c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>
        <v>3</v>
      </c>
      <c r="AX19">
        <v>3</v>
      </c>
      <c r="BA19">
        <v>3</v>
      </c>
      <c r="BC19">
        <v>3</v>
      </c>
      <c r="BE19">
        <v>3</v>
      </c>
      <c r="BH19">
        <v>4</v>
      </c>
      <c r="BJ19">
        <v>5</v>
      </c>
      <c r="BL19">
        <v>3</v>
      </c>
      <c r="BO19">
        <v>4</v>
      </c>
      <c r="CF19">
        <v>1</v>
      </c>
      <c r="CH19">
        <v>1</v>
      </c>
      <c r="CK19">
        <v>1</v>
      </c>
      <c r="CM19">
        <v>1</v>
      </c>
      <c r="CO19">
        <v>1</v>
      </c>
      <c r="CR19">
        <v>1</v>
      </c>
      <c r="CT19">
        <v>5</v>
      </c>
      <c r="CV19">
        <v>4</v>
      </c>
      <c r="CY19">
        <v>3</v>
      </c>
      <c r="DF19">
        <v>3</v>
      </c>
    </row>
    <row r="20" spans="2:114" x14ac:dyDescent="0.25">
      <c r="B20" s="7" t="s">
        <v>13</v>
      </c>
      <c r="C20" s="2">
        <f t="shared" si="13"/>
        <v>13</v>
      </c>
      <c r="D20" s="1">
        <v>425</v>
      </c>
      <c r="E20" s="1">
        <v>425</v>
      </c>
      <c r="F20" s="1">
        <v>425</v>
      </c>
      <c r="G20" s="1">
        <v>425</v>
      </c>
      <c r="H20" s="1">
        <v>425</v>
      </c>
      <c r="I20" s="1">
        <v>425</v>
      </c>
      <c r="J20" s="1">
        <v>425</v>
      </c>
      <c r="L20" s="3">
        <v>0.7</v>
      </c>
      <c r="M20" s="3"/>
      <c r="N20" s="3">
        <v>0.75</v>
      </c>
      <c r="O20" s="3"/>
      <c r="P20" s="3"/>
      <c r="Q20" s="3"/>
      <c r="R20" s="3"/>
      <c r="S20" s="3">
        <v>0.8</v>
      </c>
      <c r="T20" s="3"/>
      <c r="U20" s="3">
        <v>0.85</v>
      </c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>
        <v>3</v>
      </c>
      <c r="AX20">
        <v>4</v>
      </c>
      <c r="BC20">
        <v>3</v>
      </c>
      <c r="BE20">
        <v>4</v>
      </c>
      <c r="BJ20">
        <v>5</v>
      </c>
      <c r="BQ20">
        <v>4</v>
      </c>
      <c r="CF20">
        <v>1</v>
      </c>
      <c r="CH20">
        <v>1</v>
      </c>
      <c r="CM20">
        <v>1</v>
      </c>
      <c r="CO20">
        <v>4</v>
      </c>
      <c r="CT20">
        <v>2</v>
      </c>
      <c r="DA20">
        <v>3</v>
      </c>
    </row>
    <row r="21" spans="2:114" x14ac:dyDescent="0.25">
      <c r="B21" s="7"/>
      <c r="C21" s="2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</row>
    <row r="22" spans="2:114" outlineLevel="1" x14ac:dyDescent="0.25">
      <c r="B22" s="7"/>
      <c r="C22" s="4" t="s">
        <v>7</v>
      </c>
      <c r="D22" s="4" t="s">
        <v>0</v>
      </c>
      <c r="E22" s="4" t="s">
        <v>1</v>
      </c>
      <c r="F22" s="4" t="s">
        <v>2</v>
      </c>
      <c r="G22" s="4" t="s">
        <v>3</v>
      </c>
      <c r="H22" s="4" t="s">
        <v>4</v>
      </c>
      <c r="I22" s="4" t="s">
        <v>5</v>
      </c>
      <c r="J22" s="4" t="s">
        <v>6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</row>
    <row r="23" spans="2:114" outlineLevel="1" x14ac:dyDescent="0.25">
      <c r="B23" s="16" t="s">
        <v>23</v>
      </c>
      <c r="C23" s="2">
        <v>1</v>
      </c>
      <c r="D23" s="15">
        <f>B3</f>
        <v>44098</v>
      </c>
      <c r="E23" s="15">
        <f>D23+1</f>
        <v>44099</v>
      </c>
      <c r="F23" s="15">
        <f t="shared" ref="F23:J23" si="15">E23+1</f>
        <v>44100</v>
      </c>
      <c r="G23" s="15">
        <f t="shared" si="15"/>
        <v>44101</v>
      </c>
      <c r="H23" s="15">
        <f t="shared" si="15"/>
        <v>44102</v>
      </c>
      <c r="I23" s="15">
        <f t="shared" si="15"/>
        <v>44103</v>
      </c>
      <c r="J23" s="15">
        <f t="shared" si="15"/>
        <v>44104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</row>
    <row r="24" spans="2:114" outlineLevel="1" x14ac:dyDescent="0.25">
      <c r="B24" s="7"/>
      <c r="C24" s="2">
        <f>C23+1</f>
        <v>2</v>
      </c>
      <c r="D24" s="15">
        <f>J23+1</f>
        <v>44105</v>
      </c>
      <c r="E24" s="15">
        <f t="shared" ref="E24:J35" si="16">D24+1</f>
        <v>44106</v>
      </c>
      <c r="F24" s="15">
        <f t="shared" si="16"/>
        <v>44107</v>
      </c>
      <c r="G24" s="15">
        <f t="shared" si="16"/>
        <v>44108</v>
      </c>
      <c r="H24" s="15">
        <f t="shared" si="16"/>
        <v>44109</v>
      </c>
      <c r="I24" s="15">
        <f t="shared" si="16"/>
        <v>44110</v>
      </c>
      <c r="J24" s="15">
        <f t="shared" si="16"/>
        <v>44111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</row>
    <row r="25" spans="2:114" outlineLevel="1" x14ac:dyDescent="0.25">
      <c r="B25" s="7"/>
      <c r="C25" s="2">
        <f t="shared" ref="C25:C35" si="17">C24+1</f>
        <v>3</v>
      </c>
      <c r="D25" s="15">
        <f t="shared" ref="D25:D35" si="18">J24+1</f>
        <v>44112</v>
      </c>
      <c r="E25" s="15">
        <f t="shared" si="16"/>
        <v>44113</v>
      </c>
      <c r="F25" s="15">
        <f t="shared" si="16"/>
        <v>44114</v>
      </c>
      <c r="G25" s="15">
        <f t="shared" si="16"/>
        <v>44115</v>
      </c>
      <c r="H25" s="15">
        <f t="shared" si="16"/>
        <v>44116</v>
      </c>
      <c r="I25" s="15">
        <f t="shared" si="16"/>
        <v>44117</v>
      </c>
      <c r="J25" s="15">
        <f t="shared" si="16"/>
        <v>44118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</row>
    <row r="26" spans="2:114" outlineLevel="1" x14ac:dyDescent="0.25">
      <c r="B26" s="7"/>
      <c r="C26" s="2">
        <f t="shared" si="17"/>
        <v>4</v>
      </c>
      <c r="D26" s="15">
        <f t="shared" si="18"/>
        <v>44119</v>
      </c>
      <c r="E26" s="15">
        <f t="shared" si="16"/>
        <v>44120</v>
      </c>
      <c r="F26" s="15">
        <f t="shared" si="16"/>
        <v>44121</v>
      </c>
      <c r="G26" s="15">
        <f t="shared" si="16"/>
        <v>44122</v>
      </c>
      <c r="H26" s="15">
        <f t="shared" si="16"/>
        <v>44123</v>
      </c>
      <c r="I26" s="15">
        <f t="shared" si="16"/>
        <v>44124</v>
      </c>
      <c r="J26" s="15">
        <f t="shared" si="16"/>
        <v>44125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</row>
    <row r="27" spans="2:114" outlineLevel="1" x14ac:dyDescent="0.25">
      <c r="B27" s="7"/>
      <c r="C27" s="2">
        <f t="shared" si="17"/>
        <v>5</v>
      </c>
      <c r="D27" s="15">
        <f t="shared" si="18"/>
        <v>44126</v>
      </c>
      <c r="E27" s="15">
        <f t="shared" si="16"/>
        <v>44127</v>
      </c>
      <c r="F27" s="15">
        <f t="shared" si="16"/>
        <v>44128</v>
      </c>
      <c r="G27" s="15">
        <f t="shared" si="16"/>
        <v>44129</v>
      </c>
      <c r="H27" s="15">
        <f t="shared" si="16"/>
        <v>44130</v>
      </c>
      <c r="I27" s="15">
        <f t="shared" si="16"/>
        <v>44131</v>
      </c>
      <c r="J27" s="15">
        <f t="shared" si="16"/>
        <v>44132</v>
      </c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</row>
    <row r="28" spans="2:114" outlineLevel="1" x14ac:dyDescent="0.25">
      <c r="B28" s="7"/>
      <c r="C28" s="2">
        <f t="shared" si="17"/>
        <v>6</v>
      </c>
      <c r="D28" s="15">
        <f t="shared" si="18"/>
        <v>44133</v>
      </c>
      <c r="E28" s="15">
        <f t="shared" si="16"/>
        <v>44134</v>
      </c>
      <c r="F28" s="15">
        <f t="shared" si="16"/>
        <v>44135</v>
      </c>
      <c r="G28" s="15">
        <f t="shared" si="16"/>
        <v>44136</v>
      </c>
      <c r="H28" s="15">
        <f t="shared" si="16"/>
        <v>44137</v>
      </c>
      <c r="I28" s="15">
        <f t="shared" si="16"/>
        <v>44138</v>
      </c>
      <c r="J28" s="15">
        <f t="shared" si="16"/>
        <v>44139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</row>
    <row r="29" spans="2:114" outlineLevel="1" x14ac:dyDescent="0.25">
      <c r="B29" s="7"/>
      <c r="C29" s="2">
        <f t="shared" si="17"/>
        <v>7</v>
      </c>
      <c r="D29" s="15">
        <f t="shared" si="18"/>
        <v>44140</v>
      </c>
      <c r="E29" s="15">
        <f t="shared" si="16"/>
        <v>44141</v>
      </c>
      <c r="F29" s="15">
        <f t="shared" si="16"/>
        <v>44142</v>
      </c>
      <c r="G29" s="15">
        <f t="shared" si="16"/>
        <v>44143</v>
      </c>
      <c r="H29" s="15">
        <f t="shared" si="16"/>
        <v>44144</v>
      </c>
      <c r="I29" s="15">
        <f t="shared" si="16"/>
        <v>44145</v>
      </c>
      <c r="J29" s="15">
        <f t="shared" si="16"/>
        <v>44146</v>
      </c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</row>
    <row r="30" spans="2:114" outlineLevel="1" x14ac:dyDescent="0.25">
      <c r="B30" s="7"/>
      <c r="C30" s="2">
        <f t="shared" si="17"/>
        <v>8</v>
      </c>
      <c r="D30" s="15">
        <f t="shared" si="18"/>
        <v>44147</v>
      </c>
      <c r="E30" s="15">
        <f t="shared" si="16"/>
        <v>44148</v>
      </c>
      <c r="F30" s="15">
        <f t="shared" si="16"/>
        <v>44149</v>
      </c>
      <c r="G30" s="15">
        <f t="shared" si="16"/>
        <v>44150</v>
      </c>
      <c r="H30" s="15">
        <f t="shared" si="16"/>
        <v>44151</v>
      </c>
      <c r="I30" s="15">
        <f t="shared" si="16"/>
        <v>44152</v>
      </c>
      <c r="J30" s="15">
        <f t="shared" si="16"/>
        <v>44153</v>
      </c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</row>
    <row r="31" spans="2:114" outlineLevel="1" x14ac:dyDescent="0.25">
      <c r="B31" s="7"/>
      <c r="C31" s="2">
        <f t="shared" si="17"/>
        <v>9</v>
      </c>
      <c r="D31" s="15">
        <f t="shared" si="18"/>
        <v>44154</v>
      </c>
      <c r="E31" s="15">
        <f t="shared" si="16"/>
        <v>44155</v>
      </c>
      <c r="F31" s="15">
        <f t="shared" si="16"/>
        <v>44156</v>
      </c>
      <c r="G31" s="15">
        <f t="shared" si="16"/>
        <v>44157</v>
      </c>
      <c r="H31" s="15">
        <f t="shared" si="16"/>
        <v>44158</v>
      </c>
      <c r="I31" s="15">
        <f t="shared" si="16"/>
        <v>44159</v>
      </c>
      <c r="J31" s="15">
        <f t="shared" si="16"/>
        <v>44160</v>
      </c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</row>
    <row r="32" spans="2:114" outlineLevel="1" x14ac:dyDescent="0.25">
      <c r="B32" s="7"/>
      <c r="C32" s="2">
        <f t="shared" si="17"/>
        <v>10</v>
      </c>
      <c r="D32" s="15">
        <f t="shared" si="18"/>
        <v>44161</v>
      </c>
      <c r="E32" s="15">
        <f t="shared" si="16"/>
        <v>44162</v>
      </c>
      <c r="F32" s="15">
        <f t="shared" si="16"/>
        <v>44163</v>
      </c>
      <c r="G32" s="15">
        <f t="shared" si="16"/>
        <v>44164</v>
      </c>
      <c r="H32" s="15">
        <f t="shared" si="16"/>
        <v>44165</v>
      </c>
      <c r="I32" s="15">
        <f t="shared" si="16"/>
        <v>44166</v>
      </c>
      <c r="J32" s="15">
        <f t="shared" si="16"/>
        <v>44167</v>
      </c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</row>
    <row r="33" spans="2:47" outlineLevel="1" x14ac:dyDescent="0.25">
      <c r="B33" s="7"/>
      <c r="C33" s="2">
        <f t="shared" si="17"/>
        <v>11</v>
      </c>
      <c r="D33" s="15">
        <f t="shared" si="18"/>
        <v>44168</v>
      </c>
      <c r="E33" s="15">
        <f t="shared" si="16"/>
        <v>44169</v>
      </c>
      <c r="F33" s="15">
        <f t="shared" si="16"/>
        <v>44170</v>
      </c>
      <c r="G33" s="15">
        <f t="shared" si="16"/>
        <v>44171</v>
      </c>
      <c r="H33" s="15">
        <f t="shared" si="16"/>
        <v>44172</v>
      </c>
      <c r="I33" s="15">
        <f t="shared" si="16"/>
        <v>44173</v>
      </c>
      <c r="J33" s="15">
        <f t="shared" si="16"/>
        <v>44174</v>
      </c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</row>
    <row r="34" spans="2:47" outlineLevel="1" x14ac:dyDescent="0.25">
      <c r="B34" s="7"/>
      <c r="C34" s="2">
        <f t="shared" si="17"/>
        <v>12</v>
      </c>
      <c r="D34" s="17">
        <f t="shared" si="18"/>
        <v>44175</v>
      </c>
      <c r="E34" s="17">
        <f t="shared" si="16"/>
        <v>44176</v>
      </c>
      <c r="F34" s="17">
        <f t="shared" si="16"/>
        <v>44177</v>
      </c>
      <c r="G34" s="17">
        <f t="shared" si="16"/>
        <v>44178</v>
      </c>
      <c r="H34" s="17">
        <f t="shared" si="16"/>
        <v>44179</v>
      </c>
      <c r="I34" s="15">
        <f t="shared" si="16"/>
        <v>44180</v>
      </c>
      <c r="J34" s="15">
        <f t="shared" si="16"/>
        <v>44181</v>
      </c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</row>
    <row r="35" spans="2:47" outlineLevel="1" x14ac:dyDescent="0.25">
      <c r="B35" s="7"/>
      <c r="C35" s="2">
        <f t="shared" si="17"/>
        <v>13</v>
      </c>
      <c r="D35" s="15">
        <f t="shared" si="18"/>
        <v>44182</v>
      </c>
      <c r="E35" s="15">
        <f t="shared" si="16"/>
        <v>44183</v>
      </c>
      <c r="F35" s="15">
        <f t="shared" si="16"/>
        <v>44184</v>
      </c>
      <c r="G35" s="15">
        <f t="shared" si="16"/>
        <v>44185</v>
      </c>
      <c r="H35" s="15">
        <f t="shared" si="16"/>
        <v>44186</v>
      </c>
      <c r="I35" s="15">
        <f t="shared" si="16"/>
        <v>44187</v>
      </c>
      <c r="J35" s="15">
        <f t="shared" si="16"/>
        <v>44188</v>
      </c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</row>
    <row r="36" spans="2:47" x14ac:dyDescent="0.25">
      <c r="C36" s="2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</row>
    <row r="37" spans="2:47" hidden="1" outlineLevel="1" x14ac:dyDescent="0.25">
      <c r="C37" s="2">
        <f t="shared" ref="C37:C49" si="19">C8</f>
        <v>1</v>
      </c>
      <c r="D37">
        <f t="shared" ref="D37:D49" si="20">COUNTA(L8,S8,Z8,AG8,AN8)</f>
        <v>4</v>
      </c>
      <c r="E37">
        <f t="shared" ref="E37:J37" si="21">COUNTA(M8,T8,AA8,AH8,AO8)</f>
        <v>4</v>
      </c>
      <c r="F37">
        <f t="shared" si="21"/>
        <v>4</v>
      </c>
      <c r="G37">
        <f t="shared" si="21"/>
        <v>0</v>
      </c>
      <c r="H37">
        <f t="shared" si="21"/>
        <v>0</v>
      </c>
      <c r="I37">
        <f t="shared" si="21"/>
        <v>0</v>
      </c>
      <c r="J37">
        <f t="shared" si="21"/>
        <v>0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</row>
    <row r="38" spans="2:47" hidden="1" outlineLevel="1" x14ac:dyDescent="0.25">
      <c r="C38" s="2">
        <f t="shared" si="19"/>
        <v>2</v>
      </c>
      <c r="D38">
        <f t="shared" si="20"/>
        <v>1</v>
      </c>
      <c r="E38">
        <f t="shared" ref="E38:E49" si="22">COUNTA(M9,T9,AA9,AH9,AO9)</f>
        <v>0</v>
      </c>
      <c r="F38">
        <f t="shared" ref="F38:F49" si="23">COUNTA(N9,U9,AB9,AI9,AP9)</f>
        <v>1</v>
      </c>
      <c r="G38">
        <f t="shared" ref="G38:G49" si="24">COUNTA(O9,V9,AC9,AJ9,AQ9)</f>
        <v>0</v>
      </c>
      <c r="H38">
        <f t="shared" ref="H38:H49" si="25">COUNTA(P9,W9,AD9,AK9,AR9)</f>
        <v>1</v>
      </c>
      <c r="I38">
        <f t="shared" ref="I38:I49" si="26">COUNTA(Q9,X9,AE9,AL9,AS9)</f>
        <v>0</v>
      </c>
      <c r="J38">
        <f t="shared" ref="J38:J49" si="27">COUNTA(R9,Y9,AF9,AM9,AT9)</f>
        <v>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</row>
    <row r="39" spans="2:47" hidden="1" outlineLevel="1" x14ac:dyDescent="0.25">
      <c r="C39" s="2">
        <f t="shared" si="19"/>
        <v>3</v>
      </c>
      <c r="D39">
        <f t="shared" si="20"/>
        <v>1</v>
      </c>
      <c r="E39">
        <f t="shared" si="22"/>
        <v>0</v>
      </c>
      <c r="F39">
        <f t="shared" si="23"/>
        <v>1</v>
      </c>
      <c r="G39">
        <f t="shared" si="24"/>
        <v>0</v>
      </c>
      <c r="H39">
        <f t="shared" si="25"/>
        <v>1</v>
      </c>
      <c r="I39">
        <f t="shared" si="26"/>
        <v>1</v>
      </c>
      <c r="J39">
        <f t="shared" si="27"/>
        <v>0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</row>
    <row r="40" spans="2:47" hidden="1" outlineLevel="1" x14ac:dyDescent="0.25">
      <c r="C40" s="2">
        <f t="shared" si="19"/>
        <v>4</v>
      </c>
      <c r="D40">
        <f t="shared" si="20"/>
        <v>1</v>
      </c>
      <c r="E40">
        <f t="shared" si="22"/>
        <v>0</v>
      </c>
      <c r="F40">
        <f t="shared" si="23"/>
        <v>1</v>
      </c>
      <c r="G40">
        <f t="shared" si="24"/>
        <v>0</v>
      </c>
      <c r="H40">
        <f t="shared" si="25"/>
        <v>1</v>
      </c>
      <c r="I40">
        <f t="shared" si="26"/>
        <v>1</v>
      </c>
      <c r="J40">
        <f t="shared" si="27"/>
        <v>0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</row>
    <row r="41" spans="2:47" hidden="1" outlineLevel="1" x14ac:dyDescent="0.25">
      <c r="C41" s="2">
        <f t="shared" si="19"/>
        <v>5</v>
      </c>
      <c r="D41">
        <f t="shared" si="20"/>
        <v>1</v>
      </c>
      <c r="E41">
        <f t="shared" si="22"/>
        <v>0</v>
      </c>
      <c r="F41">
        <f t="shared" si="23"/>
        <v>1</v>
      </c>
      <c r="G41">
        <f t="shared" si="24"/>
        <v>0</v>
      </c>
      <c r="H41">
        <f t="shared" si="25"/>
        <v>1</v>
      </c>
      <c r="I41">
        <f t="shared" si="26"/>
        <v>1</v>
      </c>
      <c r="J41">
        <f t="shared" si="27"/>
        <v>0</v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</row>
    <row r="42" spans="2:47" hidden="1" outlineLevel="1" x14ac:dyDescent="0.25">
      <c r="C42" s="2">
        <f t="shared" si="19"/>
        <v>6</v>
      </c>
      <c r="D42">
        <f t="shared" si="20"/>
        <v>0</v>
      </c>
      <c r="E42">
        <f t="shared" si="22"/>
        <v>0</v>
      </c>
      <c r="F42">
        <f t="shared" si="23"/>
        <v>0</v>
      </c>
      <c r="G42">
        <f t="shared" si="24"/>
        <v>0</v>
      </c>
      <c r="H42">
        <f t="shared" si="25"/>
        <v>0</v>
      </c>
      <c r="I42">
        <f t="shared" si="26"/>
        <v>0</v>
      </c>
      <c r="J42">
        <f t="shared" si="27"/>
        <v>0</v>
      </c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</row>
    <row r="43" spans="2:47" hidden="1" outlineLevel="1" x14ac:dyDescent="0.25">
      <c r="C43" s="2">
        <f t="shared" si="19"/>
        <v>7</v>
      </c>
      <c r="D43">
        <f t="shared" si="20"/>
        <v>0</v>
      </c>
      <c r="E43">
        <f t="shared" si="22"/>
        <v>0</v>
      </c>
      <c r="F43">
        <f t="shared" si="23"/>
        <v>0</v>
      </c>
      <c r="G43">
        <f t="shared" si="24"/>
        <v>0</v>
      </c>
      <c r="H43">
        <f t="shared" si="25"/>
        <v>0</v>
      </c>
      <c r="I43">
        <f t="shared" si="26"/>
        <v>0</v>
      </c>
      <c r="J43">
        <f t="shared" si="27"/>
        <v>0</v>
      </c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</row>
    <row r="44" spans="2:47" hidden="1" outlineLevel="1" x14ac:dyDescent="0.25">
      <c r="C44" s="2">
        <f t="shared" si="19"/>
        <v>8</v>
      </c>
      <c r="D44">
        <f t="shared" si="20"/>
        <v>0</v>
      </c>
      <c r="E44">
        <f t="shared" si="22"/>
        <v>0</v>
      </c>
      <c r="F44">
        <f t="shared" si="23"/>
        <v>0</v>
      </c>
      <c r="G44">
        <f t="shared" si="24"/>
        <v>0</v>
      </c>
      <c r="H44">
        <f t="shared" si="25"/>
        <v>0</v>
      </c>
      <c r="I44">
        <f t="shared" si="26"/>
        <v>0</v>
      </c>
      <c r="J44">
        <f t="shared" si="27"/>
        <v>0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</row>
    <row r="45" spans="2:47" hidden="1" outlineLevel="1" x14ac:dyDescent="0.25">
      <c r="C45" s="2">
        <f t="shared" si="19"/>
        <v>9</v>
      </c>
      <c r="D45">
        <f t="shared" si="20"/>
        <v>4</v>
      </c>
      <c r="E45">
        <f t="shared" si="22"/>
        <v>0</v>
      </c>
      <c r="F45">
        <f t="shared" si="23"/>
        <v>5</v>
      </c>
      <c r="G45">
        <f t="shared" si="24"/>
        <v>0</v>
      </c>
      <c r="H45">
        <f t="shared" si="25"/>
        <v>0</v>
      </c>
      <c r="I45">
        <f t="shared" si="26"/>
        <v>3</v>
      </c>
      <c r="J45">
        <f t="shared" si="27"/>
        <v>0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</row>
    <row r="46" spans="2:47" hidden="1" outlineLevel="1" x14ac:dyDescent="0.25">
      <c r="C46" s="2">
        <f t="shared" si="19"/>
        <v>10</v>
      </c>
      <c r="D46">
        <f t="shared" si="20"/>
        <v>5</v>
      </c>
      <c r="E46">
        <f t="shared" si="22"/>
        <v>0</v>
      </c>
      <c r="F46">
        <f t="shared" si="23"/>
        <v>5</v>
      </c>
      <c r="G46">
        <f t="shared" si="24"/>
        <v>0</v>
      </c>
      <c r="H46">
        <f t="shared" si="25"/>
        <v>0</v>
      </c>
      <c r="I46">
        <f t="shared" si="26"/>
        <v>4</v>
      </c>
      <c r="J46">
        <f t="shared" si="27"/>
        <v>0</v>
      </c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</row>
    <row r="47" spans="2:47" hidden="1" outlineLevel="1" x14ac:dyDescent="0.25">
      <c r="C47" s="2">
        <f t="shared" si="19"/>
        <v>11</v>
      </c>
      <c r="D47">
        <f t="shared" si="20"/>
        <v>4</v>
      </c>
      <c r="E47">
        <f t="shared" si="22"/>
        <v>0</v>
      </c>
      <c r="F47">
        <f t="shared" si="23"/>
        <v>4</v>
      </c>
      <c r="G47">
        <f t="shared" si="24"/>
        <v>0</v>
      </c>
      <c r="H47">
        <f t="shared" si="25"/>
        <v>0</v>
      </c>
      <c r="I47">
        <f t="shared" si="26"/>
        <v>4</v>
      </c>
      <c r="J47">
        <f t="shared" si="27"/>
        <v>0</v>
      </c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</row>
    <row r="48" spans="2:47" hidden="1" outlineLevel="1" x14ac:dyDescent="0.25">
      <c r="C48" s="2">
        <f t="shared" si="19"/>
        <v>12</v>
      </c>
      <c r="D48">
        <f t="shared" si="20"/>
        <v>3</v>
      </c>
      <c r="E48">
        <f t="shared" si="22"/>
        <v>0</v>
      </c>
      <c r="F48">
        <f t="shared" si="23"/>
        <v>3</v>
      </c>
      <c r="G48">
        <f t="shared" si="24"/>
        <v>0</v>
      </c>
      <c r="H48">
        <f t="shared" si="25"/>
        <v>0</v>
      </c>
      <c r="I48">
        <f t="shared" si="26"/>
        <v>3</v>
      </c>
      <c r="J48">
        <f t="shared" si="27"/>
        <v>0</v>
      </c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</row>
    <row r="49" spans="2:47" hidden="1" outlineLevel="1" x14ac:dyDescent="0.25">
      <c r="C49" s="2">
        <f t="shared" si="19"/>
        <v>13</v>
      </c>
      <c r="D49">
        <f t="shared" si="20"/>
        <v>2</v>
      </c>
      <c r="E49">
        <f t="shared" si="22"/>
        <v>0</v>
      </c>
      <c r="F49">
        <f t="shared" si="23"/>
        <v>2</v>
      </c>
      <c r="G49">
        <f t="shared" si="24"/>
        <v>0</v>
      </c>
      <c r="H49">
        <f t="shared" si="25"/>
        <v>0</v>
      </c>
      <c r="I49">
        <f t="shared" si="26"/>
        <v>0</v>
      </c>
      <c r="J49">
        <f t="shared" si="27"/>
        <v>0</v>
      </c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</row>
    <row r="50" spans="2:47" collapsed="1" x14ac:dyDescent="0.25">
      <c r="C50" s="2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</row>
    <row r="51" spans="2:47" x14ac:dyDescent="0.25">
      <c r="D51" s="6" t="s">
        <v>24</v>
      </c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</row>
    <row r="52" spans="2:47" x14ac:dyDescent="0.25">
      <c r="B52" s="9" t="s">
        <v>8</v>
      </c>
      <c r="C52" s="9" t="s">
        <v>7</v>
      </c>
      <c r="D52" s="9" t="s">
        <v>0</v>
      </c>
      <c r="E52" s="9" t="s">
        <v>1</v>
      </c>
      <c r="F52" s="9" t="s">
        <v>2</v>
      </c>
      <c r="G52" s="9" t="s">
        <v>3</v>
      </c>
      <c r="H52" s="9" t="s">
        <v>4</v>
      </c>
      <c r="I52" s="9" t="s">
        <v>5</v>
      </c>
      <c r="J52" s="9" t="s">
        <v>6</v>
      </c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</row>
    <row r="53" spans="2:47" ht="60" x14ac:dyDescent="0.25">
      <c r="B53" s="14" t="s">
        <v>9</v>
      </c>
      <c r="C53" s="14">
        <f t="shared" ref="C53:C65" si="28">C8</f>
        <v>1</v>
      </c>
      <c r="D53" s="10" t="str">
        <f>IF(D37=0,
"",
IF(D37=1,
ROUND(D8*L8,0)&amp;"x"&amp;AV8&amp;"x"&amp;CF8,
IF(D37=2,
ROUND(D8*L8,0)&amp;"x"&amp;AV8&amp;"x"&amp;CF8&amp;CHAR(10)&amp;ROUND(D8*S8,0)&amp;"x"&amp;BC8&amp;"x"&amp;CM8,
IF(D37=3,
ROUND(D8*L8,0)&amp;"x"&amp;AV8&amp;"x"&amp;CF8&amp;CHAR(10)&amp;ROUND(D8*S8,0)&amp;"x"&amp;BC8&amp;"x"&amp;CM8&amp;CHAR(10)&amp;ROUND(D8*Z8,0)&amp;"x"&amp;BJ8&amp;"x"&amp;CT8,
IF(D37=4,
ROUND(D8*L8,0)&amp;"x"&amp;AV8&amp;"x"&amp;CF8&amp;CHAR(10)&amp;ROUND(D8*S8,0)&amp;"x"&amp;BC8&amp;"x"&amp;CM8&amp;CHAR(10)&amp;ROUND(D8*Z8,0)&amp;"x"&amp;BJ8&amp;"x"&amp;CT8&amp;CHAR(10)&amp;ROUND(D8*AG8,0)&amp;"x"&amp;BQ8&amp;"x"&amp;DA8,
ROUND(D8*L8,0)&amp;"x"&amp;AV8&amp;"x"&amp;CF8&amp;CHAR(10)&amp;ROUND(D8*S8,0)&amp;"x"&amp;BC8&amp;"x"&amp;CM8&amp;CHAR(10)&amp;ROUND(D8*Z8,0)&amp;"x"&amp;BJ8&amp;"x"&amp;CT8&amp;CHAR(10)&amp;ROUND(D8*AG8,0)&amp;"x"&amp;BQ8&amp;"x"&amp;DA8&amp;CHAR(10)&amp;ROUND(D8*AN8,0)&amp;"x"&amp;BX8&amp;"x"&amp;DH8
)))))</f>
        <v>257x8x3
277x5x1
296x2x2
316x1x1</v>
      </c>
      <c r="E53" s="10" t="str">
        <f t="shared" ref="E53:J53" si="29">IF(E37=0,
"",
IF(E37=1,
ROUND(E8*M8,0)&amp;"x"&amp;AW8&amp;"x"&amp;CG8,
IF(E37=2,
ROUND(E8*M8,0)&amp;"x"&amp;AW8&amp;"x"&amp;CG8&amp;CHAR(10)&amp;ROUND(E8*T8,0)&amp;"x"&amp;BD8&amp;"x"&amp;CN8,
IF(E37=3,
ROUND(E8*M8,0)&amp;"x"&amp;AW8&amp;"x"&amp;CG8&amp;CHAR(10)&amp;ROUND(E8*T8,0)&amp;"x"&amp;BD8&amp;"x"&amp;CN8&amp;CHAR(10)&amp;ROUND(E8*AA8,0)&amp;"x"&amp;BK8&amp;"x"&amp;CU8,
IF(E37=4,
ROUND(E8*M8,0)&amp;"x"&amp;AW8&amp;"x"&amp;CG8&amp;CHAR(10)&amp;ROUND(E8*T8,0)&amp;"x"&amp;BD8&amp;"x"&amp;CN8&amp;CHAR(10)&amp;ROUND(E8*AA8,0)&amp;"x"&amp;BK8&amp;"x"&amp;CU8&amp;CHAR(10)&amp;ROUND(E8*AH8,0)&amp;"x"&amp;BR8&amp;"x"&amp;DB8,
ROUND(E8*M8,0)&amp;"x"&amp;AW8&amp;"x"&amp;CG8&amp;CHAR(10)&amp;ROUND(E8*T8,0)&amp;"x"&amp;BD8&amp;"x"&amp;CN8&amp;CHAR(10)&amp;ROUND(E8*AA8,0)&amp;"x"&amp;BK8&amp;"x"&amp;CU8&amp;CHAR(10)&amp;ROUND(E8*AH8,0)&amp;"x"&amp;BR8&amp;"x"&amp;DB8&amp;CHAR(10)&amp;ROUND(E8*AO8,0)&amp;"x"&amp;BY8&amp;"x"&amp;DI8
)))))</f>
        <v>257x8x3
277x5x1
296x2x2
316x1x1</v>
      </c>
      <c r="F53" s="10" t="str">
        <f t="shared" si="29"/>
        <v>277x5x4
296x3x1
316x2x2
356x1x1</v>
      </c>
      <c r="G53" s="10" t="str">
        <f t="shared" si="29"/>
        <v/>
      </c>
      <c r="H53" s="10" t="str">
        <f t="shared" si="29"/>
        <v/>
      </c>
      <c r="I53" s="10" t="str">
        <f t="shared" si="29"/>
        <v/>
      </c>
      <c r="J53" s="10" t="str">
        <f t="shared" si="29"/>
        <v/>
      </c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</row>
    <row r="54" spans="2:47" x14ac:dyDescent="0.25">
      <c r="B54" s="14" t="s">
        <v>9</v>
      </c>
      <c r="C54" s="14">
        <f t="shared" si="28"/>
        <v>2</v>
      </c>
      <c r="D54" s="10" t="str">
        <f>IF(D38=0,
"",
IF(D38=1,
ROUND(D9*L9,0)&amp;"x"&amp;AV9&amp;"x"&amp;CF9,
IF(D38=2,
ROUND(D9*L9,0)&amp;"x"&amp;AV9&amp;"x"&amp;CF9&amp;CHAR(10)&amp;ROUND(D9*S9,0)&amp;"x"&amp;BC9&amp;"x"&amp;CM9,
IF(D38=3,
ROUND(D9*L9,0)&amp;"x"&amp;AV9&amp;"x"&amp;CF9&amp;CHAR(10)&amp;ROUND(D9*S9,0)&amp;"x"&amp;BC9&amp;"x"&amp;CM9&amp;CHAR(10)&amp;ROUND(D9*Z9,0)&amp;"x"&amp;BJ9&amp;"x"&amp;CT9,
IF(D38=4,
ROUND(D9*L9,0)&amp;"x"&amp;AV9&amp;"x"&amp;CF9&amp;CHAR(10)&amp;ROUND(D9*S9,0)&amp;"x"&amp;BC9&amp;"x"&amp;CM9&amp;CHAR(10)&amp;ROUND(D9*Z9,0)&amp;"x"&amp;BJ9&amp;"x"&amp;CT9&amp;CHAR(10)&amp;ROUND(D9*AG9,0)&amp;"x"&amp;BQ9&amp;"x"&amp;DA9,
ROUND(D9*L9,0)&amp;"x"&amp;AV9&amp;"x"&amp;CF9&amp;CHAR(10)&amp;ROUND(D9*S9,0)&amp;"x"&amp;BC9&amp;"x"&amp;CM9&amp;CHAR(10)&amp;ROUND(D9*Z9,0)&amp;"x"&amp;BJ9&amp;"x"&amp;CT9&amp;CHAR(10)&amp;ROUND(D9*AG9,0)&amp;"x"&amp;BQ9&amp;"x"&amp;DA9&amp;CHAR(10)&amp;ROUND(D9*AN9,0)&amp;"x"&amp;BX9&amp;"x"&amp;DH9
)))))</f>
        <v>316x5x1</v>
      </c>
      <c r="E54" s="10" t="str">
        <f t="shared" ref="E54:J57" si="30">IF(E38=0,
"",
IF(E38=1,
ROUND(E9*M9,0)&amp;"x"&amp;AW9&amp;"x"&amp;CG9,
IF(E38=2,
ROUND(E9*M9,0)&amp;"x"&amp;AW9&amp;"x"&amp;CG9&amp;CHAR(10)&amp;ROUND(E9*T9,0)&amp;"x"&amp;BD9&amp;"x"&amp;CN9,
IF(E38=3,
ROUND(E9*M9,0)&amp;"x"&amp;AW9&amp;"x"&amp;CG9&amp;CHAR(10)&amp;ROUND(E9*T9,0)&amp;"x"&amp;BD9&amp;"x"&amp;CN9&amp;CHAR(10)&amp;ROUND(E9*AA9,0)&amp;"x"&amp;BK9&amp;"x"&amp;CU9,
IF(E38=4,
ROUND(E9*M9,0)&amp;"x"&amp;AW9&amp;"x"&amp;CG9&amp;CHAR(10)&amp;ROUND(E9*T9,0)&amp;"x"&amp;BD9&amp;"x"&amp;CN9&amp;CHAR(10)&amp;ROUND(E9*AA9,0)&amp;"x"&amp;BK9&amp;"x"&amp;CU9&amp;CHAR(10)&amp;ROUND(E9*AH9,0)&amp;"x"&amp;BR9&amp;"x"&amp;DB9,
ROUND(E9*M9,0)&amp;"x"&amp;AW9&amp;"x"&amp;CG9&amp;CHAR(10)&amp;ROUND(E9*T9,0)&amp;"x"&amp;BD9&amp;"x"&amp;CN9&amp;CHAR(10)&amp;ROUND(E9*AA9,0)&amp;"x"&amp;BK9&amp;"x"&amp;CU9&amp;CHAR(10)&amp;ROUND(E9*AH9,0)&amp;"x"&amp;BR9&amp;"x"&amp;DB9&amp;CHAR(10)&amp;ROUND(E9*AO9,0)&amp;"x"&amp;BY9&amp;"x"&amp;DI9
)))))</f>
        <v/>
      </c>
      <c r="F54" s="10" t="str">
        <f t="shared" si="30"/>
        <v>326x5x1</v>
      </c>
      <c r="G54" s="10" t="str">
        <f t="shared" si="30"/>
        <v/>
      </c>
      <c r="H54" s="10" t="str">
        <f t="shared" si="30"/>
        <v>336x5x1</v>
      </c>
      <c r="I54" s="10" t="str">
        <f t="shared" si="30"/>
        <v/>
      </c>
      <c r="J54" s="10" t="str">
        <f t="shared" si="30"/>
        <v/>
      </c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</row>
    <row r="55" spans="2:47" x14ac:dyDescent="0.25">
      <c r="B55" s="14" t="s">
        <v>10</v>
      </c>
      <c r="C55" s="14">
        <f t="shared" si="28"/>
        <v>3</v>
      </c>
      <c r="D55" s="10" t="str">
        <f>IF(D39=0,
"",
IF(D39=1,
ROUND(D10*L10,0)&amp;"x"&amp;AV10&amp;"x"&amp;CF10,
IF(D39=2,
ROUND(D10*L10,0)&amp;"x"&amp;AV10&amp;"x"&amp;CF10&amp;CHAR(10)&amp;ROUND(D10*S10,0)&amp;"x"&amp;BC10&amp;"x"&amp;CM10,
IF(D39=3,
ROUND(D10*L10,0)&amp;"x"&amp;AV10&amp;"x"&amp;CF10&amp;CHAR(10)&amp;ROUND(D10*S10,0)&amp;"x"&amp;BC10&amp;"x"&amp;CM10&amp;CHAR(10)&amp;ROUND(D10*Z10,0)&amp;"x"&amp;BJ10&amp;"x"&amp;CT10,
IF(D39=4,
ROUND(D10*L10,0)&amp;"x"&amp;AV10&amp;"x"&amp;CF10&amp;CHAR(10)&amp;ROUND(D10*S10,0)&amp;"x"&amp;BC10&amp;"x"&amp;CM10&amp;CHAR(10)&amp;ROUND(D10*Z10,0)&amp;"x"&amp;BJ10&amp;"x"&amp;CT10&amp;CHAR(10)&amp;ROUND(D10*AG10,0)&amp;"x"&amp;BQ10&amp;"x"&amp;DA10,
ROUND(D10*L10,0)&amp;"x"&amp;AV10&amp;"x"&amp;CF10&amp;CHAR(10)&amp;ROUND(D10*S10,0)&amp;"x"&amp;BC10&amp;"x"&amp;CM10&amp;CHAR(10)&amp;ROUND(D10*Z10,0)&amp;"x"&amp;BJ10&amp;"x"&amp;CT10&amp;CHAR(10)&amp;ROUND(D10*AG10,0)&amp;"x"&amp;BQ10&amp;"x"&amp;DA10&amp;CHAR(10)&amp;ROUND(D10*AN10,0)&amp;"x"&amp;BX10&amp;"x"&amp;DH10
)))))</f>
        <v>284x9x4</v>
      </c>
      <c r="E55" s="10" t="str">
        <f t="shared" si="30"/>
        <v/>
      </c>
      <c r="F55" s="10" t="str">
        <f t="shared" si="30"/>
        <v>304x7x5</v>
      </c>
      <c r="G55" s="10" t="str">
        <f t="shared" si="30"/>
        <v/>
      </c>
      <c r="H55" s="10" t="str">
        <f t="shared" si="30"/>
        <v>324x5x7</v>
      </c>
      <c r="I55" s="10" t="str">
        <f t="shared" si="30"/>
        <v>344x3x10</v>
      </c>
      <c r="J55" s="10" t="str">
        <f t="shared" si="30"/>
        <v/>
      </c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</row>
    <row r="56" spans="2:47" x14ac:dyDescent="0.25">
      <c r="B56" s="14" t="s">
        <v>10</v>
      </c>
      <c r="C56" s="14">
        <f t="shared" si="28"/>
        <v>4</v>
      </c>
      <c r="D56" s="10" t="str">
        <f>IF(D40=0,
"",
IF(D40=1,
ROUND(D11*L11,0)&amp;"x"&amp;AV11&amp;"x"&amp;CF11,
IF(D40=2,
ROUND(D11*L11,0)&amp;"x"&amp;AV11&amp;"x"&amp;CF11&amp;CHAR(10)&amp;ROUND(D11*S11,0)&amp;"x"&amp;BC11&amp;"x"&amp;CM11,
IF(D40=3,
ROUND(D11*L11,0)&amp;"x"&amp;AV11&amp;"x"&amp;CF11&amp;CHAR(10)&amp;ROUND(D11*S11,0)&amp;"x"&amp;BC11&amp;"x"&amp;CM11&amp;CHAR(10)&amp;ROUND(D11*Z11,0)&amp;"x"&amp;BJ11&amp;"x"&amp;CT11,
IF(D40=4,
ROUND(D11*L11,0)&amp;"x"&amp;AV11&amp;"x"&amp;CF11&amp;CHAR(10)&amp;ROUND(D11*S11,0)&amp;"x"&amp;BC11&amp;"x"&amp;CM11&amp;CHAR(10)&amp;ROUND(D11*Z11,0)&amp;"x"&amp;BJ11&amp;"x"&amp;CT11&amp;CHAR(10)&amp;ROUND(D11*AG11,0)&amp;"x"&amp;BQ11&amp;"x"&amp;DA11,
ROUND(D11*L11,0)&amp;"x"&amp;AV11&amp;"x"&amp;CF11&amp;CHAR(10)&amp;ROUND(D11*S11,0)&amp;"x"&amp;BC11&amp;"x"&amp;CM11&amp;CHAR(10)&amp;ROUND(D11*Z11,0)&amp;"x"&amp;BJ11&amp;"x"&amp;CT11&amp;CHAR(10)&amp;ROUND(D11*AG11,0)&amp;"x"&amp;BQ11&amp;"x"&amp;DA11&amp;CHAR(10)&amp;ROUND(D11*AN11,0)&amp;"x"&amp;BX11&amp;"x"&amp;DH11
)))))</f>
        <v>291x9x4</v>
      </c>
      <c r="E56" s="10" t="str">
        <f t="shared" si="30"/>
        <v/>
      </c>
      <c r="F56" s="10" t="str">
        <f t="shared" si="30"/>
        <v>311x7x5</v>
      </c>
      <c r="G56" s="10" t="str">
        <f t="shared" si="30"/>
        <v/>
      </c>
      <c r="H56" s="10" t="str">
        <f t="shared" si="30"/>
        <v>332x5x7</v>
      </c>
      <c r="I56" s="10" t="str">
        <f t="shared" si="30"/>
        <v>353x3x10</v>
      </c>
      <c r="J56" s="10" t="str">
        <f t="shared" si="30"/>
        <v/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</row>
    <row r="57" spans="2:47" x14ac:dyDescent="0.25">
      <c r="B57" s="14" t="s">
        <v>10</v>
      </c>
      <c r="C57" s="14">
        <f t="shared" si="28"/>
        <v>5</v>
      </c>
      <c r="D57" s="10" t="str">
        <f>IF(D41=0,
"",
IF(D41=1,
ROUND(D12*L12,0)&amp;"x"&amp;AV12&amp;"x"&amp;CF12,
IF(D41=2,
ROUND(D12*L12,0)&amp;"x"&amp;AV12&amp;"x"&amp;CF12&amp;CHAR(10)&amp;ROUND(D12*S12,0)&amp;"x"&amp;BC12&amp;"x"&amp;CM12,
IF(D41=3,
ROUND(D12*L12,0)&amp;"x"&amp;AV12&amp;"x"&amp;CF12&amp;CHAR(10)&amp;ROUND(D12*S12,0)&amp;"x"&amp;BC12&amp;"x"&amp;CM12&amp;CHAR(10)&amp;ROUND(D12*Z12,0)&amp;"x"&amp;BJ12&amp;"x"&amp;CT12,
IF(D41=4,
ROUND(D12*L12,0)&amp;"x"&amp;AV12&amp;"x"&amp;CF12&amp;CHAR(10)&amp;ROUND(D12*S12,0)&amp;"x"&amp;BC12&amp;"x"&amp;CM12&amp;CHAR(10)&amp;ROUND(D12*Z12,0)&amp;"x"&amp;BJ12&amp;"x"&amp;CT12&amp;CHAR(10)&amp;ROUND(D12*AG12,0)&amp;"x"&amp;BQ12&amp;"x"&amp;DA12,
ROUND(D12*L12,0)&amp;"x"&amp;AV12&amp;"x"&amp;CF12&amp;CHAR(10)&amp;ROUND(D12*S12,0)&amp;"x"&amp;BC12&amp;"x"&amp;CM12&amp;CHAR(10)&amp;ROUND(D12*Z12,0)&amp;"x"&amp;BJ12&amp;"x"&amp;CT12&amp;CHAR(10)&amp;ROUND(D12*AG12,0)&amp;"x"&amp;BQ12&amp;"x"&amp;DA12&amp;CHAR(10)&amp;ROUND(D12*AN12,0)&amp;"x"&amp;BX12&amp;"x"&amp;DH12
)))))</f>
        <v>291x9x4</v>
      </c>
      <c r="E57" s="10" t="str">
        <f t="shared" si="30"/>
        <v/>
      </c>
      <c r="F57" s="10" t="str">
        <f t="shared" si="30"/>
        <v>311x7x5</v>
      </c>
      <c r="G57" s="10" t="str">
        <f t="shared" si="30"/>
        <v/>
      </c>
      <c r="H57" s="10" t="str">
        <f t="shared" si="30"/>
        <v>332x5x7</v>
      </c>
      <c r="I57" s="10" t="str">
        <f t="shared" si="30"/>
        <v>353x3x10</v>
      </c>
      <c r="J57" s="10" t="str">
        <f t="shared" si="30"/>
        <v/>
      </c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</row>
    <row r="58" spans="2:47" x14ac:dyDescent="0.25">
      <c r="B58" s="14" t="s">
        <v>10</v>
      </c>
      <c r="C58" s="14">
        <f t="shared" si="28"/>
        <v>6</v>
      </c>
      <c r="D58" s="11" t="s">
        <v>18</v>
      </c>
      <c r="E58" s="10" t="str">
        <f t="shared" ref="E58:E65" si="31">IF(E42=0,
"",
IF(E42=1,
ROUND(E13*M13,0)&amp;"x"&amp;AW13&amp;"x"&amp;CG13,
IF(E42=2,
ROUND(E13*M13,0)&amp;"x"&amp;AW13&amp;"x"&amp;CG13&amp;CHAR(10)&amp;ROUND(E13*T13,0)&amp;"x"&amp;BD13&amp;"x"&amp;CN13,
IF(E42=3,
ROUND(E13*M13,0)&amp;"x"&amp;AW13&amp;"x"&amp;CG13&amp;CHAR(10)&amp;ROUND(E13*T13,0)&amp;"x"&amp;BD13&amp;"x"&amp;CN13&amp;CHAR(10)&amp;ROUND(E13*AA13,0)&amp;"x"&amp;BK13&amp;"x"&amp;CU13,
IF(E42=4,
ROUND(E13*M13,0)&amp;"x"&amp;AW13&amp;"x"&amp;CG13&amp;CHAR(10)&amp;ROUND(E13*T13,0)&amp;"x"&amp;BD13&amp;"x"&amp;CN13&amp;CHAR(10)&amp;ROUND(E13*AA13,0)&amp;"x"&amp;BK13&amp;"x"&amp;CU13&amp;CHAR(10)&amp;ROUND(E13*AH13,0)&amp;"x"&amp;BR13&amp;"x"&amp;DB13,
ROUND(E13*M13,0)&amp;"x"&amp;AW13&amp;"x"&amp;CG13&amp;CHAR(10)&amp;ROUND(E13*T13,0)&amp;"x"&amp;BD13&amp;"x"&amp;CN13&amp;CHAR(10)&amp;ROUND(E13*AA13,0)&amp;"x"&amp;BK13&amp;"x"&amp;CU13&amp;CHAR(10)&amp;ROUND(E13*AH13,0)&amp;"x"&amp;BR13&amp;"x"&amp;DB13&amp;CHAR(10)&amp;ROUND(E13*AO13,0)&amp;"x"&amp;BY13&amp;"x"&amp;DI13
)))))</f>
        <v/>
      </c>
      <c r="F58" s="11" t="s">
        <v>18</v>
      </c>
      <c r="G58" s="10" t="str">
        <f t="shared" ref="G58:G65" si="32">IF(G42=0,
"",
IF(G42=1,
ROUND(G13*O13,0)&amp;"x"&amp;AY13&amp;"x"&amp;CI13,
IF(G42=2,
ROUND(G13*O13,0)&amp;"x"&amp;AY13&amp;"x"&amp;CI13&amp;CHAR(10)&amp;ROUND(G13*V13,0)&amp;"x"&amp;BF13&amp;"x"&amp;CP13,
IF(G42=3,
ROUND(G13*O13,0)&amp;"x"&amp;AY13&amp;"x"&amp;CI13&amp;CHAR(10)&amp;ROUND(G13*V13,0)&amp;"x"&amp;BF13&amp;"x"&amp;CP13&amp;CHAR(10)&amp;ROUND(G13*AC13,0)&amp;"x"&amp;BM13&amp;"x"&amp;CW13,
IF(G42=4,
ROUND(G13*O13,0)&amp;"x"&amp;AY13&amp;"x"&amp;CI13&amp;CHAR(10)&amp;ROUND(G13*V13,0)&amp;"x"&amp;BF13&amp;"x"&amp;CP13&amp;CHAR(10)&amp;ROUND(G13*AC13,0)&amp;"x"&amp;BM13&amp;"x"&amp;CW13&amp;CHAR(10)&amp;ROUND(G13*AJ13,0)&amp;"x"&amp;BT13&amp;"x"&amp;DD13,
ROUND(G13*O13,0)&amp;"x"&amp;AY13&amp;"x"&amp;CI13&amp;CHAR(10)&amp;ROUND(G13*V13,0)&amp;"x"&amp;BF13&amp;"x"&amp;CP13&amp;CHAR(10)&amp;ROUND(G13*AC13,0)&amp;"x"&amp;BM13&amp;"x"&amp;CW13&amp;CHAR(10)&amp;ROUND(G13*AJ13,0)&amp;"x"&amp;BT13&amp;"x"&amp;DD13&amp;CHAR(10)&amp;ROUND(G13*AQ13,0)&amp;"x"&amp;CA13&amp;"x"&amp;DK13
)))))</f>
        <v/>
      </c>
      <c r="H58" s="12" t="s">
        <v>19</v>
      </c>
      <c r="I58" s="10" t="str">
        <f t="shared" ref="I58:J64" si="33">IF(I42=0,
"",
IF(I42=1,
ROUND(I13*Q13,0)&amp;"x"&amp;BA13&amp;"x"&amp;CK13,
IF(I42=2,
ROUND(I13*Q13,0)&amp;"x"&amp;BA13&amp;"x"&amp;CK13&amp;CHAR(10)&amp;ROUND(I13*X13,0)&amp;"x"&amp;BH13&amp;"x"&amp;CR13,
IF(I42=3,
ROUND(I13*Q13,0)&amp;"x"&amp;BA13&amp;"x"&amp;CK13&amp;CHAR(10)&amp;ROUND(I13*X13,0)&amp;"x"&amp;BH13&amp;"x"&amp;CR13&amp;CHAR(10)&amp;ROUND(I13*AE13,0)&amp;"x"&amp;BO13&amp;"x"&amp;CY13,
IF(I42=4,
ROUND(I13*Q13,0)&amp;"x"&amp;BA13&amp;"x"&amp;CK13&amp;CHAR(10)&amp;ROUND(I13*X13,0)&amp;"x"&amp;BH13&amp;"x"&amp;CR13&amp;CHAR(10)&amp;ROUND(I13*AE13,0)&amp;"x"&amp;BO13&amp;"x"&amp;CY13&amp;CHAR(10)&amp;ROUND(I13*AL13,0)&amp;"x"&amp;BV13&amp;"x"&amp;DF13,
ROUND(I13*Q13,0)&amp;"x"&amp;BA13&amp;"x"&amp;CK13&amp;CHAR(10)&amp;ROUND(I13*X13,0)&amp;"x"&amp;BH13&amp;"x"&amp;CR13&amp;CHAR(10)&amp;ROUND(I13*AE13,0)&amp;"x"&amp;BO13&amp;"x"&amp;CY13&amp;CHAR(10)&amp;ROUND(I13*AL13,0)&amp;"x"&amp;BV13&amp;"x"&amp;DF13&amp;CHAR(10)&amp;ROUND(I13*AS13,0)&amp;"x"&amp;CC13&amp;"x"&amp;DM13
)))))</f>
        <v/>
      </c>
      <c r="J58" s="10" t="str">
        <f t="shared" si="33"/>
        <v/>
      </c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</row>
    <row r="59" spans="2:47" ht="74.25" customHeight="1" x14ac:dyDescent="0.25">
      <c r="B59" s="14" t="s">
        <v>11</v>
      </c>
      <c r="C59" s="14">
        <f t="shared" si="28"/>
        <v>7</v>
      </c>
      <c r="D59" s="13" t="s">
        <v>20</v>
      </c>
      <c r="E59" s="10" t="str">
        <f t="shared" si="31"/>
        <v/>
      </c>
      <c r="F59" s="13" t="s">
        <v>20</v>
      </c>
      <c r="G59" s="10" t="str">
        <f t="shared" si="32"/>
        <v/>
      </c>
      <c r="H59" s="13" t="s">
        <v>20</v>
      </c>
      <c r="I59" s="10" t="str">
        <f t="shared" si="33"/>
        <v/>
      </c>
      <c r="J59" s="10" t="str">
        <f t="shared" si="33"/>
        <v/>
      </c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</row>
    <row r="60" spans="2:47" ht="74.25" customHeight="1" x14ac:dyDescent="0.25">
      <c r="B60" s="14" t="s">
        <v>11</v>
      </c>
      <c r="C60" s="14">
        <f t="shared" si="28"/>
        <v>8</v>
      </c>
      <c r="D60" s="13" t="s">
        <v>20</v>
      </c>
      <c r="E60" s="10" t="str">
        <f t="shared" si="31"/>
        <v/>
      </c>
      <c r="F60" s="13" t="s">
        <v>20</v>
      </c>
      <c r="G60" s="10" t="str">
        <f t="shared" si="32"/>
        <v/>
      </c>
      <c r="H60" s="13" t="s">
        <v>20</v>
      </c>
      <c r="I60" s="10" t="str">
        <f t="shared" si="33"/>
        <v/>
      </c>
      <c r="J60" s="10" t="str">
        <f t="shared" si="33"/>
        <v/>
      </c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</row>
    <row r="61" spans="2:47" ht="74.25" customHeight="1" x14ac:dyDescent="0.25">
      <c r="B61" s="14" t="s">
        <v>12</v>
      </c>
      <c r="C61" s="14">
        <f t="shared" si="28"/>
        <v>9</v>
      </c>
      <c r="D61" s="10" t="str">
        <f>IF(D45=0,
"",
IF(D45=1,
ROUND(D16*L16,0)&amp;"x"&amp;AV16&amp;"x"&amp;CF16,
IF(D45=2,
ROUND(D16*L16,0)&amp;"x"&amp;AV16&amp;"x"&amp;CF16&amp;CHAR(10)&amp;ROUND(D16*S16,0)&amp;"x"&amp;BC16&amp;"x"&amp;CM16,
IF(D45=3,
ROUND(D16*L16,0)&amp;"x"&amp;AV16&amp;"x"&amp;CF16&amp;CHAR(10)&amp;ROUND(D16*S16,0)&amp;"x"&amp;BC16&amp;"x"&amp;CM16&amp;CHAR(10)&amp;ROUND(D16*Z16,0)&amp;"x"&amp;BJ16&amp;"x"&amp;CT16,
IF(D45=4,
ROUND(D16*L16,0)&amp;"x"&amp;AV16&amp;"x"&amp;CF16&amp;CHAR(10)&amp;ROUND(D16*S16,0)&amp;"x"&amp;BC16&amp;"x"&amp;CM16&amp;CHAR(10)&amp;ROUND(D16*Z16,0)&amp;"x"&amp;BJ16&amp;"x"&amp;CT16&amp;CHAR(10)&amp;ROUND(D16*AG16,0)&amp;"x"&amp;BQ16&amp;"x"&amp;DA16,
ROUND(D16*L16,0)&amp;"x"&amp;AV16&amp;"x"&amp;CF16&amp;CHAR(10)&amp;ROUND(D16*S16,0)&amp;"x"&amp;BC16&amp;"x"&amp;CM16&amp;CHAR(10)&amp;ROUND(D16*Z16,0)&amp;"x"&amp;BJ16&amp;"x"&amp;CT16&amp;CHAR(10)&amp;ROUND(D16*AG16,0)&amp;"x"&amp;BQ16&amp;"x"&amp;DA16&amp;CHAR(10)&amp;ROUND(D16*AN16,0)&amp;"x"&amp;BX16&amp;"x"&amp;DH16
)))))</f>
        <v>276x3x1
319x4x1
361x4x3
361x5x1</v>
      </c>
      <c r="E61" s="10" t="str">
        <f t="shared" si="31"/>
        <v/>
      </c>
      <c r="F61" s="10" t="str">
        <f>IF(F45=0,
"",
IF(F45=1,
ROUND(F16*N16,0)&amp;"x"&amp;AX16&amp;"x"&amp;CH16,
IF(F45=2,
ROUND(F16*N16,0)&amp;"x"&amp;AX16&amp;"x"&amp;CH16&amp;CHAR(10)&amp;ROUND(F16*U16,0)&amp;"x"&amp;BE16&amp;"x"&amp;CO16,
IF(F45=3,
ROUND(F16*N16,0)&amp;"x"&amp;AX16&amp;"x"&amp;CH16&amp;CHAR(10)&amp;ROUND(F16*U16,0)&amp;"x"&amp;BE16&amp;"x"&amp;CO16&amp;CHAR(10)&amp;ROUND(F16*AB16,0)&amp;"x"&amp;BL16&amp;"x"&amp;CV16,
IF(F45=4,
ROUND(F16*N16,0)&amp;"x"&amp;AX16&amp;"x"&amp;CH16&amp;CHAR(10)&amp;ROUND(F16*U16,0)&amp;"x"&amp;BE16&amp;"x"&amp;CO16&amp;CHAR(10)&amp;ROUND(F16*AB16,0)&amp;"x"&amp;BL16&amp;"x"&amp;CV16&amp;CHAR(10)&amp;ROUND(F16*AI16,0)&amp;"x"&amp;BS16&amp;"x"&amp;DC16,
ROUND(F16*N16,0)&amp;"x"&amp;AX16&amp;"x"&amp;CH16&amp;CHAR(10)&amp;ROUND(F16*U16,0)&amp;"x"&amp;BE16&amp;"x"&amp;CO16&amp;CHAR(10)&amp;ROUND(F16*AB16,0)&amp;"x"&amp;BL16&amp;"x"&amp;CV16&amp;CHAR(10)&amp;ROUND(F16*AI16,0)&amp;"x"&amp;BS16&amp;"x"&amp;DC16&amp;CHAR(10)&amp;ROUND(F16*AP16,0)&amp;"x"&amp;BZ16&amp;"x"&amp;DJ16
)))))</f>
        <v>255x3x1
298x3x1
340x4x1
383x3x1
361x5x2</v>
      </c>
      <c r="G61" s="10" t="str">
        <f t="shared" si="32"/>
        <v/>
      </c>
      <c r="H61" s="10" t="str">
        <f>IF(H45=0,
"",
IF(H45=1,
ROUND(H16*P16,0)&amp;"x"&amp;AZ16&amp;"x"&amp;CJ16,
IF(H45=2,
ROUND(H16*P16,0)&amp;"x"&amp;AZ16&amp;"x"&amp;CJ16&amp;CHAR(10)&amp;ROUND(H16*W16,0)&amp;"x"&amp;BG16&amp;"x"&amp;CQ16,
IF(H45=3,
ROUND(H16*P16,0)&amp;"x"&amp;AZ16&amp;"x"&amp;CJ16&amp;CHAR(10)&amp;ROUND(H16*W16,0)&amp;"x"&amp;BG16&amp;"x"&amp;CQ16&amp;CHAR(10)&amp;ROUND(H16*AD16,0)&amp;"x"&amp;BN16&amp;"x"&amp;CX16,
IF(H45=4,
ROUND(H16*P16,0)&amp;"x"&amp;AZ16&amp;"x"&amp;CJ16&amp;CHAR(10)&amp;ROUND(H16*W16,0)&amp;"x"&amp;BG16&amp;"x"&amp;CQ16&amp;CHAR(10)&amp;ROUND(H16*AD16,0)&amp;"x"&amp;BN16&amp;"x"&amp;CX16&amp;CHAR(10)&amp;ROUND(H16*AK16,0)&amp;"x"&amp;BU16&amp;"x"&amp;DE16,
ROUND(H16*P16,0)&amp;"x"&amp;AZ16&amp;"x"&amp;CJ16&amp;CHAR(10)&amp;ROUND(H16*W16,0)&amp;"x"&amp;BG16&amp;"x"&amp;CQ16&amp;CHAR(10)&amp;ROUND(H16*AD16,0)&amp;"x"&amp;BN16&amp;"x"&amp;CX16&amp;CHAR(10)&amp;ROUND(H16*AK16,0)&amp;"x"&amp;BU16&amp;"x"&amp;DE16&amp;CHAR(10)&amp;ROUND(H16*AR16,0)&amp;"x"&amp;CB16&amp;"x"&amp;DL16
)))))</f>
        <v/>
      </c>
      <c r="I61" s="10" t="str">
        <f t="shared" si="33"/>
        <v>276x4x1
298x4x1
340x4x5</v>
      </c>
      <c r="J61" s="10" t="str">
        <f t="shared" si="33"/>
        <v/>
      </c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</row>
    <row r="62" spans="2:47" ht="74.25" customHeight="1" x14ac:dyDescent="0.25">
      <c r="B62" s="14" t="s">
        <v>12</v>
      </c>
      <c r="C62" s="14">
        <f t="shared" si="28"/>
        <v>10</v>
      </c>
      <c r="D62" s="10" t="str">
        <f>IF(D46=0,
"",
IF(D46=1,
ROUND(D17*L17,0)&amp;"x"&amp;AV17&amp;"x"&amp;CF17,
IF(D46=2,
ROUND(D17*L17,0)&amp;"x"&amp;AV17&amp;"x"&amp;CF17&amp;CHAR(10)&amp;ROUND(D17*S17,0)&amp;"x"&amp;BC17&amp;"x"&amp;CM17,
IF(D46=3,
ROUND(D17*L17,0)&amp;"x"&amp;AV17&amp;"x"&amp;CF17&amp;CHAR(10)&amp;ROUND(D17*S17,0)&amp;"x"&amp;BC17&amp;"x"&amp;CM17&amp;CHAR(10)&amp;ROUND(D17*Z17,0)&amp;"x"&amp;BJ17&amp;"x"&amp;CT17,
IF(D46=4,
ROUND(D17*L17,0)&amp;"x"&amp;AV17&amp;"x"&amp;CF17&amp;CHAR(10)&amp;ROUND(D17*S17,0)&amp;"x"&amp;BC17&amp;"x"&amp;CM17&amp;CHAR(10)&amp;ROUND(D17*Z17,0)&amp;"x"&amp;BJ17&amp;"x"&amp;CT17&amp;CHAR(10)&amp;ROUND(D17*AG17,0)&amp;"x"&amp;BQ17&amp;"x"&amp;DA17,
ROUND(D17*L17,0)&amp;"x"&amp;AV17&amp;"x"&amp;CF17&amp;CHAR(10)&amp;ROUND(D17*S17,0)&amp;"x"&amp;BC17&amp;"x"&amp;CM17&amp;CHAR(10)&amp;ROUND(D17*Z17,0)&amp;"x"&amp;BJ17&amp;"x"&amp;CT17&amp;CHAR(10)&amp;ROUND(D17*AG17,0)&amp;"x"&amp;BQ17&amp;"x"&amp;DA17&amp;CHAR(10)&amp;ROUND(D17*AN17,0)&amp;"x"&amp;BX17&amp;"x"&amp;DH17
)))))</f>
        <v>255x4x1
298x4x1
340x4x1
383x3x1
383x4x2</v>
      </c>
      <c r="E62" s="10" t="str">
        <f t="shared" si="31"/>
        <v/>
      </c>
      <c r="F62" s="10" t="str">
        <f>IF(F46=0,
"",
IF(F46=1,
ROUND(F17*N17,0)&amp;"x"&amp;AX17&amp;"x"&amp;CH17,
IF(F46=2,
ROUND(F17*N17,0)&amp;"x"&amp;AX17&amp;"x"&amp;CH17&amp;CHAR(10)&amp;ROUND(F17*U17,0)&amp;"x"&amp;BE17&amp;"x"&amp;CO17,
IF(F46=3,
ROUND(F17*N17,0)&amp;"x"&amp;AX17&amp;"x"&amp;CH17&amp;CHAR(10)&amp;ROUND(F17*U17,0)&amp;"x"&amp;BE17&amp;"x"&amp;CO17&amp;CHAR(10)&amp;ROUND(F17*AB17,0)&amp;"x"&amp;BL17&amp;"x"&amp;CV17,
IF(F46=4,
ROUND(F17*N17,0)&amp;"x"&amp;AX17&amp;"x"&amp;CH17&amp;CHAR(10)&amp;ROUND(F17*U17,0)&amp;"x"&amp;BE17&amp;"x"&amp;CO17&amp;CHAR(10)&amp;ROUND(F17*AB17,0)&amp;"x"&amp;BL17&amp;"x"&amp;CV17&amp;CHAR(10)&amp;ROUND(F17*AI17,0)&amp;"x"&amp;BS17&amp;"x"&amp;DC17,
ROUND(F17*N17,0)&amp;"x"&amp;AX17&amp;"x"&amp;CH17&amp;CHAR(10)&amp;ROUND(F17*U17,0)&amp;"x"&amp;BE17&amp;"x"&amp;CO17&amp;CHAR(10)&amp;ROUND(F17*AB17,0)&amp;"x"&amp;BL17&amp;"x"&amp;CV17&amp;CHAR(10)&amp;ROUND(F17*AI17,0)&amp;"x"&amp;BS17&amp;"x"&amp;DC17&amp;CHAR(10)&amp;ROUND(F17*AP17,0)&amp;"x"&amp;BZ17&amp;"x"&amp;DJ17
)))))</f>
        <v>276x3x1
319x3x1
361x3x1
383x3x3
404x3x1</v>
      </c>
      <c r="G62" s="10" t="str">
        <f t="shared" si="32"/>
        <v/>
      </c>
      <c r="H62" s="10" t="str">
        <f>IF(H46=0,
"",
IF(H46=1,
ROUND(H17*P17,0)&amp;"x"&amp;AZ17&amp;"x"&amp;CJ17,
IF(H46=2,
ROUND(H17*P17,0)&amp;"x"&amp;AZ17&amp;"x"&amp;CJ17&amp;CHAR(10)&amp;ROUND(H17*W17,0)&amp;"x"&amp;BG17&amp;"x"&amp;CQ17,
IF(H46=3,
ROUND(H17*P17,0)&amp;"x"&amp;AZ17&amp;"x"&amp;CJ17&amp;CHAR(10)&amp;ROUND(H17*W17,0)&amp;"x"&amp;BG17&amp;"x"&amp;CQ17&amp;CHAR(10)&amp;ROUND(H17*AD17,0)&amp;"x"&amp;BN17&amp;"x"&amp;CX17,
IF(H46=4,
ROUND(H17*P17,0)&amp;"x"&amp;AZ17&amp;"x"&amp;CJ17&amp;CHAR(10)&amp;ROUND(H17*W17,0)&amp;"x"&amp;BG17&amp;"x"&amp;CQ17&amp;CHAR(10)&amp;ROUND(H17*AD17,0)&amp;"x"&amp;BN17&amp;"x"&amp;CX17&amp;CHAR(10)&amp;ROUND(H17*AK17,0)&amp;"x"&amp;BU17&amp;"x"&amp;DE17,
ROUND(H17*P17,0)&amp;"x"&amp;AZ17&amp;"x"&amp;CJ17&amp;CHAR(10)&amp;ROUND(H17*W17,0)&amp;"x"&amp;BG17&amp;"x"&amp;CQ17&amp;CHAR(10)&amp;ROUND(H17*AD17,0)&amp;"x"&amp;BN17&amp;"x"&amp;CX17&amp;CHAR(10)&amp;ROUND(H17*AK17,0)&amp;"x"&amp;BU17&amp;"x"&amp;DE17&amp;CHAR(10)&amp;ROUND(H17*AR17,0)&amp;"x"&amp;CB17&amp;"x"&amp;DL17
)))))</f>
        <v/>
      </c>
      <c r="I62" s="10" t="str">
        <f t="shared" si="33"/>
        <v>276x3x1
319x3x1
361x4x1
383x5x4</v>
      </c>
      <c r="J62" s="10" t="str">
        <f t="shared" si="33"/>
        <v/>
      </c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</row>
    <row r="63" spans="2:47" ht="60" x14ac:dyDescent="0.25">
      <c r="B63" s="14" t="s">
        <v>12</v>
      </c>
      <c r="C63" s="14">
        <f t="shared" si="28"/>
        <v>11</v>
      </c>
      <c r="D63" s="10" t="str">
        <f>IF(D47=0,
"",
IF(D47=1,
ROUND(D18*L18,0)&amp;"x"&amp;AV18&amp;"x"&amp;CF18,
IF(D47=2,
ROUND(D18*L18,0)&amp;"x"&amp;AV18&amp;"x"&amp;CF18&amp;CHAR(10)&amp;ROUND(D18*S18,0)&amp;"x"&amp;BC18&amp;"x"&amp;CM18,
IF(D47=3,
ROUND(D18*L18,0)&amp;"x"&amp;AV18&amp;"x"&amp;CF18&amp;CHAR(10)&amp;ROUND(D18*S18,0)&amp;"x"&amp;BC18&amp;"x"&amp;CM18&amp;CHAR(10)&amp;ROUND(D18*Z18,0)&amp;"x"&amp;BJ18&amp;"x"&amp;CT18,
IF(D47=4,
ROUND(D18*L18,0)&amp;"x"&amp;AV18&amp;"x"&amp;CF18&amp;CHAR(10)&amp;ROUND(D18*S18,0)&amp;"x"&amp;BC18&amp;"x"&amp;CM18&amp;CHAR(10)&amp;ROUND(D18*Z18,0)&amp;"x"&amp;BJ18&amp;"x"&amp;CT18&amp;CHAR(10)&amp;ROUND(D18*AG18,0)&amp;"x"&amp;BQ18&amp;"x"&amp;DA18,
ROUND(D18*L18,0)&amp;"x"&amp;AV18&amp;"x"&amp;CF18&amp;CHAR(10)&amp;ROUND(D18*S18,0)&amp;"x"&amp;BC18&amp;"x"&amp;CM18&amp;CHAR(10)&amp;ROUND(D18*Z18,0)&amp;"x"&amp;BJ18&amp;"x"&amp;CT18&amp;CHAR(10)&amp;ROUND(D18*AG18,0)&amp;"x"&amp;BQ18&amp;"x"&amp;DA18&amp;CHAR(10)&amp;ROUND(D18*AN18,0)&amp;"x"&amp;BX18&amp;"x"&amp;DH18
)))))</f>
        <v>255x3x1
298x3x1
340x3x1
383x5x5</v>
      </c>
      <c r="E63" s="10" t="str">
        <f t="shared" si="31"/>
        <v/>
      </c>
      <c r="F63" s="10" t="str">
        <f>IF(F47=0,
"",
IF(F47=1,
ROUND(F18*N18,0)&amp;"x"&amp;AX18&amp;"x"&amp;CH18,
IF(F47=2,
ROUND(F18*N18,0)&amp;"x"&amp;AX18&amp;"x"&amp;CH18&amp;CHAR(10)&amp;ROUND(F18*U18,0)&amp;"x"&amp;BE18&amp;"x"&amp;CO18,
IF(F47=3,
ROUND(F18*N18,0)&amp;"x"&amp;AX18&amp;"x"&amp;CH18&amp;CHAR(10)&amp;ROUND(F18*U18,0)&amp;"x"&amp;BE18&amp;"x"&amp;CO18&amp;CHAR(10)&amp;ROUND(F18*AB18,0)&amp;"x"&amp;BL18&amp;"x"&amp;CV18,
IF(F47=4,
ROUND(F18*N18,0)&amp;"x"&amp;AX18&amp;"x"&amp;CH18&amp;CHAR(10)&amp;ROUND(F18*U18,0)&amp;"x"&amp;BE18&amp;"x"&amp;CO18&amp;CHAR(10)&amp;ROUND(F18*AB18,0)&amp;"x"&amp;BL18&amp;"x"&amp;CV18&amp;CHAR(10)&amp;ROUND(F18*AI18,0)&amp;"x"&amp;BS18&amp;"x"&amp;DC18,
ROUND(F18*N18,0)&amp;"x"&amp;AX18&amp;"x"&amp;CH18&amp;CHAR(10)&amp;ROUND(F18*U18,0)&amp;"x"&amp;BE18&amp;"x"&amp;CO18&amp;CHAR(10)&amp;ROUND(F18*AB18,0)&amp;"x"&amp;BL18&amp;"x"&amp;CV18&amp;CHAR(10)&amp;ROUND(F18*AI18,0)&amp;"x"&amp;BS18&amp;"x"&amp;DC18&amp;CHAR(10)&amp;ROUND(F18*AP18,0)&amp;"x"&amp;BZ18&amp;"x"&amp;DJ18
)))))</f>
        <v>255x3x1
298x3x1
340x3x1
404x3x2</v>
      </c>
      <c r="G63" s="10" t="str">
        <f t="shared" si="32"/>
        <v/>
      </c>
      <c r="H63" s="10" t="str">
        <f>IF(H47=0,
"",
IF(H47=1,
ROUND(H18*P18,0)&amp;"x"&amp;AZ18&amp;"x"&amp;CJ18,
IF(H47=2,
ROUND(H18*P18,0)&amp;"x"&amp;AZ18&amp;"x"&amp;CJ18&amp;CHAR(10)&amp;ROUND(H18*W18,0)&amp;"x"&amp;BG18&amp;"x"&amp;CQ18,
IF(H47=3,
ROUND(H18*P18,0)&amp;"x"&amp;AZ18&amp;"x"&amp;CJ18&amp;CHAR(10)&amp;ROUND(H18*W18,0)&amp;"x"&amp;BG18&amp;"x"&amp;CQ18&amp;CHAR(10)&amp;ROUND(H18*AD18,0)&amp;"x"&amp;BN18&amp;"x"&amp;CX18,
IF(H47=4,
ROUND(H18*P18,0)&amp;"x"&amp;AZ18&amp;"x"&amp;CJ18&amp;CHAR(10)&amp;ROUND(H18*W18,0)&amp;"x"&amp;BG18&amp;"x"&amp;CQ18&amp;CHAR(10)&amp;ROUND(H18*AD18,0)&amp;"x"&amp;BN18&amp;"x"&amp;CX18&amp;CHAR(10)&amp;ROUND(H18*AK18,0)&amp;"x"&amp;BU18&amp;"x"&amp;DE18,
ROUND(H18*P18,0)&amp;"x"&amp;AZ18&amp;"x"&amp;CJ18&amp;CHAR(10)&amp;ROUND(H18*W18,0)&amp;"x"&amp;BG18&amp;"x"&amp;CQ18&amp;CHAR(10)&amp;ROUND(H18*AD18,0)&amp;"x"&amp;BN18&amp;"x"&amp;CX18&amp;CHAR(10)&amp;ROUND(H18*AK18,0)&amp;"x"&amp;BU18&amp;"x"&amp;DE18&amp;CHAR(10)&amp;ROUND(H18*AR18,0)&amp;"x"&amp;CB18&amp;"x"&amp;DL18
)))))</f>
        <v/>
      </c>
      <c r="I63" s="10" t="str">
        <f t="shared" si="33"/>
        <v>276x3x1
319x3x1
361x3x1
404x3x4</v>
      </c>
      <c r="J63" s="10" t="str">
        <f t="shared" si="33"/>
        <v/>
      </c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</row>
    <row r="64" spans="2:47" ht="45" x14ac:dyDescent="0.25">
      <c r="B64" s="14" t="s">
        <v>12</v>
      </c>
      <c r="C64" s="14">
        <f t="shared" si="28"/>
        <v>12</v>
      </c>
      <c r="D64" s="10" t="str">
        <f>IF(D48=0,
"",
IF(D48=1,
ROUND(D19*L19,0)&amp;"x"&amp;AV19&amp;"x"&amp;CF19,
IF(D48=2,
ROUND(D19*L19,0)&amp;"x"&amp;AV19&amp;"x"&amp;CF19&amp;CHAR(10)&amp;ROUND(D19*S19,0)&amp;"x"&amp;BC19&amp;"x"&amp;CM19,
IF(D48=3,
ROUND(D19*L19,0)&amp;"x"&amp;AV19&amp;"x"&amp;CF19&amp;CHAR(10)&amp;ROUND(D19*S19,0)&amp;"x"&amp;BC19&amp;"x"&amp;CM19&amp;CHAR(10)&amp;ROUND(D19*Z19,0)&amp;"x"&amp;BJ19&amp;"x"&amp;CT19,
IF(D48=4,
ROUND(D19*L19,0)&amp;"x"&amp;AV19&amp;"x"&amp;CF19&amp;CHAR(10)&amp;ROUND(D19*S19,0)&amp;"x"&amp;BC19&amp;"x"&amp;CM19&amp;CHAR(10)&amp;ROUND(D19*Z19,0)&amp;"x"&amp;BJ19&amp;"x"&amp;CT19&amp;CHAR(10)&amp;ROUND(D19*AG19,0)&amp;"x"&amp;BQ19&amp;"x"&amp;DA19,
ROUND(D19*L19,0)&amp;"x"&amp;AV19&amp;"x"&amp;CF19&amp;CHAR(10)&amp;ROUND(D19*S19,0)&amp;"x"&amp;BC19&amp;"x"&amp;CM19&amp;CHAR(10)&amp;ROUND(D19*Z19,0)&amp;"x"&amp;BJ19&amp;"x"&amp;CT19&amp;CHAR(10)&amp;ROUND(D19*AG19,0)&amp;"x"&amp;BQ19&amp;"x"&amp;DA19&amp;CHAR(10)&amp;ROUND(D19*AN19,0)&amp;"x"&amp;BX19&amp;"x"&amp;DH19
)))))</f>
        <v>298x3x1
340x3x1
383x5x5</v>
      </c>
      <c r="E64" s="10" t="str">
        <f t="shared" si="31"/>
        <v/>
      </c>
      <c r="F64" s="10" t="str">
        <f>IF(F48=0,
"",
IF(F48=1,
ROUND(F19*N19,0)&amp;"x"&amp;AX19&amp;"x"&amp;CH19,
IF(F48=2,
ROUND(F19*N19,0)&amp;"x"&amp;AX19&amp;"x"&amp;CH19&amp;CHAR(10)&amp;ROUND(F19*U19,0)&amp;"x"&amp;BE19&amp;"x"&amp;CO19,
IF(F48=3,
ROUND(F19*N19,0)&amp;"x"&amp;AX19&amp;"x"&amp;CH19&amp;CHAR(10)&amp;ROUND(F19*U19,0)&amp;"x"&amp;BE19&amp;"x"&amp;CO19&amp;CHAR(10)&amp;ROUND(F19*AB19,0)&amp;"x"&amp;BL19&amp;"x"&amp;CV19,
IF(F48=4,
ROUND(F19*N19,0)&amp;"x"&amp;AX19&amp;"x"&amp;CH19&amp;CHAR(10)&amp;ROUND(F19*U19,0)&amp;"x"&amp;BE19&amp;"x"&amp;CO19&amp;CHAR(10)&amp;ROUND(F19*AB19,0)&amp;"x"&amp;BL19&amp;"x"&amp;CV19&amp;CHAR(10)&amp;ROUND(F19*AI19,0)&amp;"x"&amp;BS19&amp;"x"&amp;DC19,
ROUND(F19*N19,0)&amp;"x"&amp;AX19&amp;"x"&amp;CH19&amp;CHAR(10)&amp;ROUND(F19*U19,0)&amp;"x"&amp;BE19&amp;"x"&amp;CO19&amp;CHAR(10)&amp;ROUND(F19*AB19,0)&amp;"x"&amp;BL19&amp;"x"&amp;CV19&amp;CHAR(10)&amp;ROUND(F19*AI19,0)&amp;"x"&amp;BS19&amp;"x"&amp;DC19&amp;CHAR(10)&amp;ROUND(F19*AP19,0)&amp;"x"&amp;BZ19&amp;"x"&amp;DJ19
)))))</f>
        <v>298x3x1
340x3x1
404x3x4</v>
      </c>
      <c r="G64" s="10" t="str">
        <f t="shared" si="32"/>
        <v/>
      </c>
      <c r="H64" s="10" t="str">
        <f>IF(H48=0,
"",
IF(H48=1,
ROUND(H19*P19,0)&amp;"x"&amp;AZ19&amp;"x"&amp;CJ19,
IF(H48=2,
ROUND(H19*P19,0)&amp;"x"&amp;AZ19&amp;"x"&amp;CJ19&amp;CHAR(10)&amp;ROUND(H19*W19,0)&amp;"x"&amp;BG19&amp;"x"&amp;CQ19,
IF(H48=3,
ROUND(H19*P19,0)&amp;"x"&amp;AZ19&amp;"x"&amp;CJ19&amp;CHAR(10)&amp;ROUND(H19*W19,0)&amp;"x"&amp;BG19&amp;"x"&amp;CQ19&amp;CHAR(10)&amp;ROUND(H19*AD19,0)&amp;"x"&amp;BN19&amp;"x"&amp;CX19,
IF(H48=4,
ROUND(H19*P19,0)&amp;"x"&amp;AZ19&amp;"x"&amp;CJ19&amp;CHAR(10)&amp;ROUND(H19*W19,0)&amp;"x"&amp;BG19&amp;"x"&amp;CQ19&amp;CHAR(10)&amp;ROUND(H19*AD19,0)&amp;"x"&amp;BN19&amp;"x"&amp;CX19&amp;CHAR(10)&amp;ROUND(H19*AK19,0)&amp;"x"&amp;BU19&amp;"x"&amp;DE19,
ROUND(H19*P19,0)&amp;"x"&amp;AZ19&amp;"x"&amp;CJ19&amp;CHAR(10)&amp;ROUND(H19*W19,0)&amp;"x"&amp;BG19&amp;"x"&amp;CQ19&amp;CHAR(10)&amp;ROUND(H19*AD19,0)&amp;"x"&amp;BN19&amp;"x"&amp;CX19&amp;CHAR(10)&amp;ROUND(H19*AK19,0)&amp;"x"&amp;BU19&amp;"x"&amp;DE19&amp;CHAR(10)&amp;ROUND(H19*AR19,0)&amp;"x"&amp;CB19&amp;"x"&amp;DL19
)))))</f>
        <v/>
      </c>
      <c r="I64" s="10" t="str">
        <f t="shared" si="33"/>
        <v>319x3x1
383x4x1
404x4x3</v>
      </c>
      <c r="J64" s="10" t="str">
        <f t="shared" si="33"/>
        <v/>
      </c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</row>
    <row r="65" spans="2:47" ht="30" x14ac:dyDescent="0.25">
      <c r="B65" s="14" t="s">
        <v>13</v>
      </c>
      <c r="C65" s="14">
        <f t="shared" si="28"/>
        <v>13</v>
      </c>
      <c r="D65" s="10" t="str">
        <f>IF(D49=0,
"",
IF(D49=1,
ROUND(D20*L20,0)&amp;"x"&amp;AV20&amp;"x"&amp;CF20,
IF(D49=2,
ROUND(D20*L20,0)&amp;"x"&amp;AV20&amp;"x"&amp;CF20&amp;CHAR(10)&amp;ROUND(D20*S20,0)&amp;"x"&amp;BC20&amp;"x"&amp;CM20,
IF(D49=3,
ROUND(D20*L20,0)&amp;"x"&amp;AV20&amp;"x"&amp;CF20&amp;CHAR(10)&amp;ROUND(D20*S20,0)&amp;"x"&amp;BC20&amp;"x"&amp;CM20&amp;CHAR(10)&amp;ROUND(D20*Z20,0)&amp;"x"&amp;BJ20&amp;"x"&amp;CT20,
IF(D49=4,
ROUND(D20*L20,0)&amp;"x"&amp;AV20&amp;"x"&amp;CF20&amp;CHAR(10)&amp;ROUND(D20*S20,0)&amp;"x"&amp;BC20&amp;"x"&amp;CM20&amp;CHAR(10)&amp;ROUND(D20*Z20,0)&amp;"x"&amp;BJ20&amp;"x"&amp;CT20&amp;CHAR(10)&amp;ROUND(D20*AG20,0)&amp;"x"&amp;BQ20&amp;"x"&amp;DA20,
ROUND(D20*L20,0)&amp;"x"&amp;AV20&amp;"x"&amp;CF20&amp;CHAR(10)&amp;ROUND(D20*S20,0)&amp;"x"&amp;BC20&amp;"x"&amp;CM20&amp;CHAR(10)&amp;ROUND(D20*Z20,0)&amp;"x"&amp;BJ20&amp;"x"&amp;CT20&amp;CHAR(10)&amp;ROUND(D20*AG20,0)&amp;"x"&amp;BQ20&amp;"x"&amp;DA20&amp;CHAR(10)&amp;ROUND(D20*AN20,0)&amp;"x"&amp;BX20&amp;"x"&amp;DH20
)))))</f>
        <v>298x3x1
340x3x1</v>
      </c>
      <c r="E65" s="10" t="str">
        <f t="shared" si="31"/>
        <v/>
      </c>
      <c r="F65" s="10" t="str">
        <f>IF(F49=0,
"",
IF(F49=1,
ROUND(F20*N20,0)&amp;"x"&amp;AX20&amp;"x"&amp;CH20,
IF(F49=2,
ROUND(F20*N20,0)&amp;"x"&amp;AX20&amp;"x"&amp;CH20&amp;CHAR(10)&amp;ROUND(F20*U20,0)&amp;"x"&amp;BE20&amp;"x"&amp;CO20,
IF(F49=3,
ROUND(F20*N20,0)&amp;"x"&amp;AX20&amp;"x"&amp;CH20&amp;CHAR(10)&amp;ROUND(F20*U20,0)&amp;"x"&amp;BE20&amp;"x"&amp;CO20&amp;CHAR(10)&amp;ROUND(F20*AB20,0)&amp;"x"&amp;BL20&amp;"x"&amp;CV20,
IF(F49=4,
ROUND(F20*N20,0)&amp;"x"&amp;AX20&amp;"x"&amp;CH20&amp;CHAR(10)&amp;ROUND(F20*U20,0)&amp;"x"&amp;BE20&amp;"x"&amp;CO20&amp;CHAR(10)&amp;ROUND(F20*AB20,0)&amp;"x"&amp;BL20&amp;"x"&amp;CV20&amp;CHAR(10)&amp;ROUND(F20*AI20,0)&amp;"x"&amp;BS20&amp;"x"&amp;DC20,
ROUND(F20*N20,0)&amp;"x"&amp;AX20&amp;"x"&amp;CH20&amp;CHAR(10)&amp;ROUND(F20*U20,0)&amp;"x"&amp;BE20&amp;"x"&amp;CO20&amp;CHAR(10)&amp;ROUND(F20*AB20,0)&amp;"x"&amp;BL20&amp;"x"&amp;CV20&amp;CHAR(10)&amp;ROUND(F20*AI20,0)&amp;"x"&amp;BS20&amp;"x"&amp;DC20&amp;CHAR(10)&amp;ROUND(F20*AP20,0)&amp;"x"&amp;BZ20&amp;"x"&amp;DJ20
)))))</f>
        <v>319x4x1
361x4x4</v>
      </c>
      <c r="G65" s="10" t="str">
        <f t="shared" si="32"/>
        <v/>
      </c>
      <c r="H65" s="10" t="str">
        <f>IF(H49=0,
"",
IF(H49=1,
ROUND(H20*P20,0)&amp;"x"&amp;AZ20&amp;"x"&amp;CJ20,
IF(H49=2,
ROUND(H20*P20,0)&amp;"x"&amp;AZ20&amp;"x"&amp;CJ20&amp;CHAR(10)&amp;ROUND(H20*W20,0)&amp;"x"&amp;BG20&amp;"x"&amp;CQ20,
IF(H49=3,
ROUND(H20*P20,0)&amp;"x"&amp;AZ20&amp;"x"&amp;CJ20&amp;CHAR(10)&amp;ROUND(H20*W20,0)&amp;"x"&amp;BG20&amp;"x"&amp;CQ20&amp;CHAR(10)&amp;ROUND(H20*AD20,0)&amp;"x"&amp;BN20&amp;"x"&amp;CX20,
IF(H49=4,
ROUND(H20*P20,0)&amp;"x"&amp;AZ20&amp;"x"&amp;CJ20&amp;CHAR(10)&amp;ROUND(H20*W20,0)&amp;"x"&amp;BG20&amp;"x"&amp;CQ20&amp;CHAR(10)&amp;ROUND(H20*AD20,0)&amp;"x"&amp;BN20&amp;"x"&amp;CX20&amp;CHAR(10)&amp;ROUND(H20*AK20,0)&amp;"x"&amp;BU20&amp;"x"&amp;DE20,
ROUND(H20*P20,0)&amp;"x"&amp;AZ20&amp;"x"&amp;CJ20&amp;CHAR(10)&amp;ROUND(H20*W20,0)&amp;"x"&amp;BG20&amp;"x"&amp;CQ20&amp;CHAR(10)&amp;ROUND(H20*AD20,0)&amp;"x"&amp;BN20&amp;"x"&amp;CX20&amp;CHAR(10)&amp;ROUND(H20*AK20,0)&amp;"x"&amp;BU20&amp;"x"&amp;DE20&amp;CHAR(10)&amp;ROUND(H20*AR20,0)&amp;"x"&amp;CB20&amp;"x"&amp;DL20
)))))</f>
        <v/>
      </c>
      <c r="I65" s="10" t="str">
        <f>IF(I49=0,
"",
IF(I49=1,
ROUND(I20*Q20,0)&amp;"x"&amp;BA20&amp;"x"&amp;CK20,
IF(I49=2,
ROUND(I20*Q20,0)&amp;"x"&amp;BA20&amp;"x"&amp;CK20&amp;CHAR(10)&amp;ROUND(I20*X20,0)&amp;"x"&amp;BH20&amp;"x"&amp;CR20,
IF(I49=3,
ROUND(I20*Q20,0)&amp;"x"&amp;BA20&amp;"x"&amp;CK20&amp;CHAR(10)&amp;ROUND(I20*X20,0)&amp;"x"&amp;BH20&amp;"x"&amp;CR20&amp;CHAR(10)&amp;ROUND(I20*AE20,0)&amp;"x"&amp;BO20&amp;"x"&amp;CY20,
IF(I49=4,
ROUND(I20*Q20,0)&amp;"x"&amp;BA20&amp;"x"&amp;CK20&amp;CHAR(10)&amp;ROUND(I20*X20,0)&amp;"x"&amp;BH20&amp;"x"&amp;CR20&amp;CHAR(10)&amp;ROUND(I20*AE20,0)&amp;"x"&amp;BO20&amp;"x"&amp;CY20&amp;CHAR(10)&amp;ROUND(I20*AL20,0)&amp;"x"&amp;BV20&amp;"x"&amp;DF20,
ROUND(I20*Q20,0)&amp;"x"&amp;BA20&amp;"x"&amp;CK20&amp;CHAR(10)&amp;ROUND(I20*X20,0)&amp;"x"&amp;BH20&amp;"x"&amp;CR20&amp;CHAR(10)&amp;ROUND(I20*AE20,0)&amp;"x"&amp;BO20&amp;"x"&amp;CY20&amp;CHAR(10)&amp;ROUND(I20*AL20,0)&amp;"x"&amp;BV20&amp;"x"&amp;DF20&amp;CHAR(10)&amp;ROUND(I20*AS20,0)&amp;"x"&amp;CC20&amp;"x"&amp;DM20
)))))</f>
        <v/>
      </c>
      <c r="J65" s="12" t="s">
        <v>19</v>
      </c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</row>
    <row r="66" spans="2:47" x14ac:dyDescent="0.25"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</row>
    <row r="67" spans="2:47" x14ac:dyDescent="0.25"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</row>
    <row r="68" spans="2:47" x14ac:dyDescent="0.25"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</row>
    <row r="69" spans="2:47" x14ac:dyDescent="0.25"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</row>
    <row r="70" spans="2:47" x14ac:dyDescent="0.25"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</row>
    <row r="71" spans="2:47" x14ac:dyDescent="0.25"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</row>
    <row r="72" spans="2:47" x14ac:dyDescent="0.25"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</row>
    <row r="73" spans="2:47" x14ac:dyDescent="0.25"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</row>
    <row r="74" spans="2:47" x14ac:dyDescent="0.25"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</row>
    <row r="75" spans="2:47" x14ac:dyDescent="0.25"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</row>
    <row r="76" spans="2:47" x14ac:dyDescent="0.25"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</row>
    <row r="77" spans="2:47" x14ac:dyDescent="0.25"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</row>
    <row r="78" spans="2:47" x14ac:dyDescent="0.25"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</row>
    <row r="79" spans="2:47" x14ac:dyDescent="0.25"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</row>
    <row r="80" spans="2:47" x14ac:dyDescent="0.25"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</row>
    <row r="81" spans="12:47" x14ac:dyDescent="0.25"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</row>
    <row r="82" spans="12:47" x14ac:dyDescent="0.25"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</row>
    <row r="83" spans="12:47" x14ac:dyDescent="0.25"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</row>
    <row r="84" spans="12:47" x14ac:dyDescent="0.25"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</row>
    <row r="85" spans="12:47" x14ac:dyDescent="0.25"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</row>
    <row r="86" spans="12:47" x14ac:dyDescent="0.25"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</row>
    <row r="87" spans="12:47" x14ac:dyDescent="0.25"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</row>
    <row r="88" spans="12:47" x14ac:dyDescent="0.25"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</row>
    <row r="89" spans="12:47" x14ac:dyDescent="0.25"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</row>
    <row r="90" spans="12:47" x14ac:dyDescent="0.25"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</row>
    <row r="91" spans="12:47" x14ac:dyDescent="0.25"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</row>
    <row r="92" spans="12:47" x14ac:dyDescent="0.25"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</row>
    <row r="93" spans="12:47" x14ac:dyDescent="0.25"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</row>
    <row r="94" spans="12:47" x14ac:dyDescent="0.25"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</row>
    <row r="95" spans="12:47" x14ac:dyDescent="0.25"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</row>
    <row r="96" spans="12:47" x14ac:dyDescent="0.25"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</row>
    <row r="97" spans="12:47" x14ac:dyDescent="0.25"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</row>
    <row r="98" spans="12:47" x14ac:dyDescent="0.25"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</row>
    <row r="99" spans="12:47" x14ac:dyDescent="0.25"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</row>
    <row r="100" spans="12:47" x14ac:dyDescent="0.25"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</row>
    <row r="101" spans="12:47" x14ac:dyDescent="0.25"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</row>
    <row r="102" spans="12:47" x14ac:dyDescent="0.25"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</row>
    <row r="103" spans="12:47" x14ac:dyDescent="0.25"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</row>
    <row r="104" spans="12:47" x14ac:dyDescent="0.25"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2020-01-27</vt:lpstr>
      <vt:lpstr>2020-04-27</vt:lpstr>
      <vt:lpstr>2020-06-26</vt:lpstr>
      <vt:lpstr>2020-09-24</vt:lpstr>
    </vt:vector>
  </TitlesOfParts>
  <Company>Amazon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Gross, Matt</dc:creator>
  <cp:lastModifiedBy>Gross, Matt</cp:lastModifiedBy>
  <dcterms:created xsi:type="dcterms:W3CDTF">2020-01-29T03:43:09Z</dcterms:created>
  <dcterms:modified xsi:type="dcterms:W3CDTF">2020-03-24T00:17:51Z</dcterms:modified>
</cp:coreProperties>
</file>